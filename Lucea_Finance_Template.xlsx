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nL" state="visible" r:id="rId4"/>
    <sheet sheetId="2" name="Staging" state="visible" r:id="rId5"/>
    <sheet sheetId="3" name="Báo_Cáo_PnL" state="visible" r:id="rId6"/>
  </sheets>
  <calcPr calcId="171027"/>
</workbook>
</file>

<file path=xl/sharedStrings.xml><?xml version="1.0" encoding="utf-8"?>
<sst xmlns="http://schemas.openxmlformats.org/spreadsheetml/2006/main" count="76" uniqueCount="46">
  <si>
    <t>ID</t>
  </si>
  <si>
    <t>Timestamp</t>
  </si>
  <si>
    <t>Type</t>
  </si>
  <si>
    <t>Amount</t>
  </si>
  <si>
    <t>Category</t>
  </si>
  <si>
    <t>Description</t>
  </si>
  <si>
    <t>Source</t>
  </si>
  <si>
    <t>Currency</t>
  </si>
  <si>
    <t>Original Amount</t>
  </si>
  <si>
    <t>123</t>
  </si>
  <si>
    <t>2026-07-10T10:00:00Z</t>
  </si>
  <si>
    <t>Revenue</t>
  </si>
  <si>
    <t>Tổng doanh thu (Gross Revenue)</t>
  </si>
  <si>
    <t>Bán hàng</t>
  </si>
  <si>
    <t>Tiền mặt</t>
  </si>
  <si>
    <t>VND</t>
  </si>
  <si>
    <t/>
  </si>
  <si>
    <t>124</t>
  </si>
  <si>
    <t>2026-07-10T11:00:00Z</t>
  </si>
  <si>
    <t>COGS</t>
  </si>
  <si>
    <t>Sinh hoạt cơ bản (Direct Materials)</t>
  </si>
  <si>
    <t>Mua gạo</t>
  </si>
  <si>
    <t>Status</t>
  </si>
  <si>
    <t>Hạng Mục</t>
  </si>
  <si>
    <t>Giá Trị (VND)</t>
  </si>
  <si>
    <t>Ghi chú</t>
  </si>
  <si>
    <t>1. Tổng doanh thu (Gross Revenue)</t>
  </si>
  <si>
    <t>2. Chi phí sàn/Giảm trừ (Returns)</t>
  </si>
  <si>
    <t>I. DOANH THU THUẦN (Net Revenue)</t>
  </si>
  <si>
    <t>3. Sinh hoạt cơ bản (Direct Materials)</t>
  </si>
  <si>
    <t>4. Giáo dục &amp; Giúp việc (Direct Labor)</t>
  </si>
  <si>
    <t>5. Xăng xe &amp; Di chuyển (Inbound Freight)</t>
  </si>
  <si>
    <t>II. TỔNG CHI PHÍ THIẾT YẾU (COGS)</t>
  </si>
  <si>
    <t>III. LỢI NHUẬN GỘP (Gross Profit)</t>
  </si>
  <si>
    <t>6. Quản lý gia đình (SG&amp;A)</t>
  </si>
  <si>
    <t>7. Ngoại giao &amp; Giải trí (Sales &amp; Marketing)</t>
  </si>
  <si>
    <t>8. Học tập &amp; PT bản thân (R&amp;D)</t>
  </si>
  <si>
    <t>9. Quỹ dự phòng (Depreciation)</t>
  </si>
  <si>
    <t>IV. TỔNG CHI PHÍ HOẠT ĐỘNG (OPEX)</t>
  </si>
  <si>
    <t>V. LỢI NHUẬN HOẠT ĐỘNG (EBIT)</t>
  </si>
  <si>
    <t>10. Lãi tiết kiệm / Cổ tức</t>
  </si>
  <si>
    <t>11. Chi phí lãi vay</t>
  </si>
  <si>
    <t>12. Thuế (Taxes)</t>
  </si>
  <si>
    <t>13. Khác (Thu/Chi bất thường)</t>
  </si>
  <si>
    <t>VI. LỢI NHUẬN RÒNG (NET INCOME)</t>
  </si>
  <si>
    <t>Thặng dư cuối cùng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</si>
</sst>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3" fontId="0" fillId="0" borderId="0" xfId="0" applyNumberFormat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5" width="35" customWidth="1"/>
    <col min="6" max="6" width="40" customWidth="1"/>
    <col min="7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>
        <v>-100000</v>
      </c>
      <c r="E3" t="s">
        <v>20</v>
      </c>
      <c r="F3" t="s">
        <v>21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5" width="35" customWidth="1"/>
    <col min="6" max="6" width="40" customWidth="1"/>
    <col min="7" max="7" width="15" customWidth="1"/>
    <col min="8" max="8" width="10" customWidth="1"/>
    <col min="9" max="10" width="1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40" customWidth="1"/>
    <col min="2" max="2" width="20" customWidth="1"/>
    <col min="3" max="3" width="30" customWidth="1"/>
  </cols>
  <sheetData>
    <row r="1" spans="1:3" s="3" customFormat="1" x14ac:dyDescent="0.25">
      <c r="A1" s="3" t="s">
        <v>23</v>
      </c>
      <c r="B1" s="3" t="s">
        <v>24</v>
      </c>
      <c r="C1" s="3" t="s">
        <v>25</v>
      </c>
    </row>
    <row r="2" spans="1:3" x14ac:dyDescent="0.25">
      <c r="A2" t="s">
        <v>26</v>
      </c>
      <c r="B2" s="4">
        <f>SUMIF(PnL!E:E, "Tổng doanh thu (Gross Revenue)", PnL!D:D)</f>
      </c>
      <c r="C2" t="s">
        <v>16</v>
      </c>
    </row>
    <row r="3" spans="1:3" x14ac:dyDescent="0.25">
      <c r="A3" t="s">
        <v>27</v>
      </c>
      <c r="B3" s="4">
        <f>SUMIF(PnL!E:E, "Chi phí sàn/Giảm trừ (Returns)", PnL!D:D)</f>
      </c>
      <c r="C3" t="s">
        <v>16</v>
      </c>
    </row>
    <row r="4" spans="1:3" s="5" customFormat="1" x14ac:dyDescent="0.25">
      <c r="A4" s="5" t="s">
        <v>28</v>
      </c>
      <c r="B4" s="6">
        <f>B2+B3</f>
      </c>
      <c r="C4" s="5" t="s">
        <v>16</v>
      </c>
    </row>
    <row r="6" spans="1:3" x14ac:dyDescent="0.25">
      <c r="A6" t="s">
        <v>29</v>
      </c>
      <c r="B6" s="4">
        <f>SUMIF(PnL!E:E, "Sinh hoạt cơ bản (Direct Materials)", PnL!D:D)</f>
      </c>
      <c r="C6" t="s">
        <v>16</v>
      </c>
    </row>
    <row r="7" spans="1:3" x14ac:dyDescent="0.25">
      <c r="A7" t="s">
        <v>30</v>
      </c>
      <c r="B7" s="4">
        <f>SUMIF(PnL!E:E, "Giáo dục &amp; Giúp việc (Direct Labor)", PnL!D:D)</f>
      </c>
      <c r="C7" t="s">
        <v>16</v>
      </c>
    </row>
    <row r="8" spans="1:3" x14ac:dyDescent="0.25">
      <c r="A8" t="s">
        <v>31</v>
      </c>
      <c r="B8" s="4">
        <f>SUMIF(PnL!E:E, "Xăng xe &amp; Di chuyển (Inbound Freight)", PnL!D:D)</f>
      </c>
      <c r="C8" t="s">
        <v>16</v>
      </c>
    </row>
    <row r="9" spans="1:3" s="5" customFormat="1" x14ac:dyDescent="0.25">
      <c r="A9" s="5" t="s">
        <v>32</v>
      </c>
      <c r="B9" s="6">
        <f>ABS(B6+B7+B8)</f>
      </c>
      <c r="C9" s="5" t="s">
        <v>16</v>
      </c>
    </row>
    <row r="11" spans="1:3" s="5" customFormat="1" x14ac:dyDescent="0.25">
      <c r="A11" s="5" t="s">
        <v>33</v>
      </c>
      <c r="B11" s="6">
        <f>B4-B9</f>
      </c>
      <c r="C11" s="5" t="s">
        <v>16</v>
      </c>
    </row>
    <row r="13" spans="1:3" x14ac:dyDescent="0.25">
      <c r="A13" t="s">
        <v>34</v>
      </c>
      <c r="B13" s="4">
        <f>SUMIF(PnL!E:E, "Quản lý gia đình (SG&amp;A)", PnL!D:D)</f>
      </c>
      <c r="C13" t="s">
        <v>16</v>
      </c>
    </row>
    <row r="14" spans="1:3" x14ac:dyDescent="0.25">
      <c r="A14" t="s">
        <v>35</v>
      </c>
      <c r="B14" s="4">
        <f>SUMIF(PnL!E:E, "Ngoại giao &amp; Giải trí (Sales &amp; Marketing)", PnL!D:D)</f>
      </c>
      <c r="C14" t="s">
        <v>16</v>
      </c>
    </row>
    <row r="15" spans="1:3" x14ac:dyDescent="0.25">
      <c r="A15" t="s">
        <v>36</v>
      </c>
      <c r="B15" s="4">
        <f>SUMIF(PnL!E:E, "Học tập &amp; PT bản thân (R&amp;D)", PnL!D:D)</f>
      </c>
      <c r="C15" t="s">
        <v>16</v>
      </c>
    </row>
    <row r="16" spans="1:3" x14ac:dyDescent="0.25">
      <c r="A16" t="s">
        <v>37</v>
      </c>
      <c r="B16" s="4">
        <f>SUMIF(PnL!E:E, "Quỹ dự phòng (Depreciation)", PnL!D:D)</f>
      </c>
      <c r="C16" t="s">
        <v>16</v>
      </c>
    </row>
    <row r="17" spans="1:3" s="5" customFormat="1" x14ac:dyDescent="0.25">
      <c r="A17" s="5" t="s">
        <v>38</v>
      </c>
      <c r="B17" s="6">
        <f>ABS(B12+B13+B14+B15)</f>
      </c>
      <c r="C17" s="5" t="s">
        <v>16</v>
      </c>
    </row>
    <row r="19" spans="1:3" s="5" customFormat="1" x14ac:dyDescent="0.25">
      <c r="A19" s="5" t="s">
        <v>39</v>
      </c>
      <c r="B19" s="6">
        <f>B11-B16</f>
      </c>
      <c r="C19" s="5" t="s">
        <v>16</v>
      </c>
    </row>
    <row r="21" spans="1:3" x14ac:dyDescent="0.25">
      <c r="A21" t="s">
        <v>40</v>
      </c>
      <c r="B21" s="4">
        <f>SUMIF(PnL!E:E, "Lãi tiết kiệm / Cổ tức", PnL!D:D)</f>
      </c>
      <c r="C21" t="s">
        <v>16</v>
      </c>
    </row>
    <row r="22" spans="1:3" x14ac:dyDescent="0.25">
      <c r="A22" t="s">
        <v>41</v>
      </c>
      <c r="B22" s="4">
        <f>SUMIF(PnL!E:E, "Chi phí lãi vay", PnL!D:D)</f>
      </c>
      <c r="C22" t="s">
        <v>16</v>
      </c>
    </row>
    <row r="23" spans="1:3" x14ac:dyDescent="0.25">
      <c r="A23" t="s">
        <v>42</v>
      </c>
      <c r="B23" s="4">
        <f>SUMIF(PnL!E:E, "Thuế (Taxes)", PnL!D:D)</f>
      </c>
      <c r="C23" t="s">
        <v>16</v>
      </c>
    </row>
    <row r="24" spans="1:3" x14ac:dyDescent="0.25">
      <c r="A24" t="s">
        <v>43</v>
      </c>
      <c r="B24" s="4">
        <f>SUMIFS(PnL!D:D, PnL!C:C, "Non-Operating", PnL!E:E, "Khác")</f>
      </c>
      <c r="C24" t="s">
        <v>16</v>
      </c>
    </row>
    <row r="25" spans="1:3" s="5" customFormat="1" x14ac:dyDescent="0.25">
      <c r="A25" s="5" t="s">
        <v>44</v>
      </c>
      <c r="B25" s="6">
        <f>B18+B20+B21+B22+B23</f>
      </c>
      <c r="C25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PnL</vt:lpstr>
      <vt:lpstr>Staging</vt:lpstr>
      <vt:lpstr>Báo_Cáo_PnL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Lucea SaaS</dc:creator>
  <dc:title/>
  <dc:subject/>
  <dc:description/>
  <cp:keywords/>
  <cp:category/>
  <cp:lastModifiedBy>Unknown</cp:lastModifiedBy>
  <dcterms:created xsi:type="dcterms:W3CDTF">2026-07-10T07:55:15Z</dcterms:created>
  <dcterms:modified xsi:type="dcterms:W3CDTF">2026-07-10T07:55:15Z</dcterms:modified>
</cp:coreProperties>
</file>