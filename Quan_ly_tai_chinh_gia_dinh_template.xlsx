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90b42b78646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87582579d1f148e0"/>
    <x:sheet xmlns:r="http://schemas.openxmlformats.org/officeDocument/2006/relationships" name="Users" sheetId="2" r:id="Rf2f5ab3de62041f3"/>
    <x:sheet xmlns:r="http://schemas.openxmlformats.org/officeDocument/2006/relationships" name="Accounts" sheetId="3" r:id="Rfc124afe5d764689"/>
    <x:sheet xmlns:r="http://schemas.openxmlformats.org/officeDocument/2006/relationships" name="Categories" sheetId="4" r:id="R9c87e591ce5b44c5"/>
    <x:sheet xmlns:r="http://schemas.openxmlformats.org/officeDocument/2006/relationships" name="Transactions" sheetId="5" r:id="R0d8fdd3fd4ea4536"/>
    <x:sheet xmlns:r="http://schemas.openxmlformats.org/officeDocument/2006/relationships" name="Budgets" sheetId="6" r:id="R1ab8ee0f6ca14c5b"/>
    <x:sheet xmlns:r="http://schemas.openxmlformats.org/officeDocument/2006/relationships" name="Goals" sheetId="7" r:id="R2ae642ac81c7451c"/>
    <x:sheet xmlns:r="http://schemas.openxmlformats.org/officeDocument/2006/relationships" name="Goal_Allocations" sheetId="8" r:id="R0f8fdf8ce8064674"/>
    <x:sheet xmlns:r="http://schemas.openxmlformats.org/officeDocument/2006/relationships" name="Debts" sheetId="9" r:id="Rd17e98c9c206423c"/>
    <x:sheet xmlns:r="http://schemas.openxmlformats.org/officeDocument/2006/relationships" name="Debt_Payments" sheetId="10" r:id="R1d5d68c8136241fa"/>
    <x:sheet xmlns:r="http://schemas.openxmlformats.org/officeDocument/2006/relationships" name="Investments" sheetId="11" r:id="R4a3695121ac54770"/>
    <x:sheet xmlns:r="http://schemas.openxmlformats.org/officeDocument/2006/relationships" name="Investment_Transactions" sheetId="12" r:id="R19fd48d9e7024ebc"/>
    <x:sheet xmlns:r="http://schemas.openxmlformats.org/officeDocument/2006/relationships" name="Asset_Valuations" sheetId="13" r:id="R7e4584fbc772421d"/>
    <x:sheet xmlns:r="http://schemas.openxmlformats.org/officeDocument/2006/relationships" name="Recurring_Receipts" sheetId="14" r:id="Ra642f71634c3484b"/>
    <x:sheet xmlns:r="http://schemas.openxmlformats.org/officeDocument/2006/relationships" name="Dashboard" sheetId="15" r:id="Rc3741674b76e43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-"/>
    <x:numFmt numFmtId="201" formatCode="0.0%;[Red](0.0%);-"/>
    <x:numFmt numFmtId="202" formatCode="dd/mm/yyyy"/>
    <x:numFmt numFmtId="203" formatCode="mm/yyyy"/>
  </x:numFmts>
  <x:fonts count="7">
    <x:font>
      <x:sz val="11"/>
      <x:name val="Carlito"/>
    </x:font>
    <x:font>
      <x:b/>
      <x:sz val="15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3F6FA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200" fontId="6" fillId="5" borderId="0" xfId="0" applyNumberFormat="1" applyFont="1" applyFill="1" applyBorder="1" applyAlignment="1">
      <x:alignment horizontal="center" vertical="center"/>
    </x:xf>
    <x:xf numFmtId="200" fontId="6" fillId="5" borderId="1" xfId="0" applyNumberFormat="1" applyFont="1" applyFill="1" applyBorder="1" applyAlignment="1">
      <x:alignment horizontal="center" vertical="center"/>
    </x:xf>
    <x:xf numFmtId="201" fontId="6" fillId="5" borderId="0" xfId="0" applyNumberFormat="1" applyFont="1" applyFill="1" applyBorder="1" applyAlignment="1">
      <x:alignment horizontal="center" vertical="center"/>
    </x:xf>
    <x:xf numFmtId="201" fontId="6" fillId="5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9e42d2c0184c3e" /><Relationship Type="http://schemas.openxmlformats.org/officeDocument/2006/relationships/theme" Target="/xl/theme/theme1.xml" Id="R9e3e6f351129417b" /><Relationship Type="http://schemas.openxmlformats.org/officeDocument/2006/relationships/sharedStrings" Target="/xl/sharedStrings.xml" Id="R8ba734c44de14953" /><Relationship Type="http://schemas.openxmlformats.org/officeDocument/2006/relationships/worksheet" Target="/xl/worksheets/sheet1.xml" Id="R87582579d1f148e0" /><Relationship Type="http://schemas.openxmlformats.org/officeDocument/2006/relationships/worksheet" Target="/xl/worksheets/sheet2.xml" Id="Rf2f5ab3de62041f3" /><Relationship Type="http://schemas.openxmlformats.org/officeDocument/2006/relationships/worksheet" Target="/xl/worksheets/sheet3.xml" Id="Rfc124afe5d764689" /><Relationship Type="http://schemas.openxmlformats.org/officeDocument/2006/relationships/worksheet" Target="/xl/worksheets/sheet4.xml" Id="R9c87e591ce5b44c5" /><Relationship Type="http://schemas.openxmlformats.org/officeDocument/2006/relationships/worksheet" Target="/xl/worksheets/sheet5.xml" Id="R0d8fdd3fd4ea4536" /><Relationship Type="http://schemas.openxmlformats.org/officeDocument/2006/relationships/worksheet" Target="/xl/worksheets/sheet6.xml" Id="R1ab8ee0f6ca14c5b" /><Relationship Type="http://schemas.openxmlformats.org/officeDocument/2006/relationships/worksheet" Target="/xl/worksheets/sheet7.xml" Id="R2ae642ac81c7451c" /><Relationship Type="http://schemas.openxmlformats.org/officeDocument/2006/relationships/worksheet" Target="/xl/worksheets/sheet8.xml" Id="R0f8fdf8ce8064674" /><Relationship Type="http://schemas.openxmlformats.org/officeDocument/2006/relationships/worksheet" Target="/xl/worksheets/sheet9.xml" Id="Rd17e98c9c206423c" /><Relationship Type="http://schemas.openxmlformats.org/officeDocument/2006/relationships/worksheet" Target="/xl/worksheets/sheet10.xml" Id="R1d5d68c8136241fa" /><Relationship Type="http://schemas.openxmlformats.org/officeDocument/2006/relationships/worksheet" Target="/xl/worksheets/sheet11.xml" Id="R4a3695121ac54770" /><Relationship Type="http://schemas.openxmlformats.org/officeDocument/2006/relationships/worksheet" Target="/xl/worksheets/sheet12.xml" Id="R19fd48d9e7024ebc" /><Relationship Type="http://schemas.openxmlformats.org/officeDocument/2006/relationships/worksheet" Target="/xl/worksheets/sheet13.xml" Id="R7e4584fbc772421d" /><Relationship Type="http://schemas.openxmlformats.org/officeDocument/2006/relationships/worksheet" Target="/xl/worksheets/sheet14.xml" Id="Ra642f71634c3484b" /><Relationship Type="http://schemas.openxmlformats.org/officeDocument/2006/relationships/worksheet" Target="/xl/worksheets/sheet15.xml" Id="Rc3741674b76e43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34" hidden="0" customWidth="1"/>
  </x:cols>
  <x:sheetData>
    <x:row r="1" ht="26" customHeight="1">
      <x:c r="A1" s="3" t="str">
        <x:v>THIẾT LẬP HỆ THỐNG</x:v>
      </x:c>
    </x:row>
    <x:row r="2" ht="28" customHeight="1">
      <x:c r="A2" s="8" t="str">
        <x:v>Ô chữ xanh là dữ liệu nhập. Tỷ lệ 50/30/20 là mặc định và có thể thay đổi.</x:v>
      </x:c>
    </x:row>
    <x:row r="4" ht="30" customHeight="1">
      <x:c r="A4" s="16" t="str">
        <x:v>Thiết lập</x:v>
      </x:c>
      <x:c r="B4" s="16" t="str">
        <x:v>Giá trị</x:v>
      </x:c>
      <x:c r="C4" s="16" t="str">
        <x:v>Đơn vị</x:v>
      </x:c>
      <x:c r="D4" s="16" t="str">
        <x:v>Ghi chú</x:v>
      </x:c>
    </x:row>
    <x:row r="5">
      <x:c r="A5" t="str">
        <x:v>Tiền tệ chính</x:v>
      </x:c>
      <x:c r="B5" s="22" t="str">
        <x:v>VND</x:v>
      </x:c>
      <x:c r="C5" t="str"/>
      <x:c r="D5" t="str"/>
    </x:row>
    <x:row r="6">
      <x:c r="A6" t="str">
        <x:v>Tiền tệ phụ</x:v>
      </x:c>
      <x:c r="B6" s="22" t="str">
        <x:v>USD</x:v>
      </x:c>
      <x:c r="C6" t="str"/>
      <x:c r="D6" t="str"/>
    </x:row>
    <x:row r="7">
      <x:c r="A7" t="str">
        <x:v>Tỷ giá USD/VND</x:v>
      </x:c>
      <x:c r="B7" s="24" t="n">
        <x:v>26000</x:v>
      </x:c>
      <x:c r="C7" t="str">
        <x:v>VND/USD</x:v>
      </x:c>
      <x:c r="D7" t="str">
        <x:v>Cập nhật thủ công</x:v>
      </x:c>
    </x:row>
    <x:row r="8">
      <x:c r="A8" t="str">
        <x:v>Thiết yếu</x:v>
      </x:c>
      <x:c r="B8" s="26" t="n">
        <x:v>0.5</x:v>
      </x:c>
      <x:c r="C8" t="str">
        <x:v>%</x:v>
      </x:c>
      <x:c r="D8" t="str">
        <x:v>Mặc định 50%</x:v>
      </x:c>
    </x:row>
    <x:row r="9">
      <x:c r="A9" t="str">
        <x:v>Linh hoạt</x:v>
      </x:c>
      <x:c r="B9" s="26" t="n">
        <x:v>0.3</x:v>
      </x:c>
      <x:c r="C9" t="str">
        <x:v>%</x:v>
      </x:c>
      <x:c r="D9" t="str">
        <x:v>Mặc định 30%</x:v>
      </x:c>
    </x:row>
    <x:row r="10">
      <x:c r="A10" t="str">
        <x:v>Tích lũy &amp; Đầu tư</x:v>
      </x:c>
      <x:c r="B10" s="26" t="n">
        <x:v>0.2</x:v>
      </x:c>
      <x:c r="C10" t="str">
        <x:v>%</x:v>
      </x:c>
      <x:c r="D10" t="str">
        <x:v>Mặc định 20%</x:v>
      </x:c>
    </x:row>
    <x:row r="11">
      <x:c r="A11" t="str">
        <x:v>Quỹ dự phòng mục tiêu</x:v>
      </x:c>
      <x:c r="B11" s="22" t="n">
        <x:v>6</x:v>
      </x:c>
      <x:c r="C11" t="str">
        <x:v>tháng</x:v>
      </x:c>
      <x:c r="D11" t="str"/>
    </x:row>
    <x:row r="12">
      <x:c r="A12" t="str">
        <x:v>Ngưỡng cảnh báo</x:v>
      </x:c>
      <x:c r="B12" s="26" t="n">
        <x:v>0.8</x:v>
      </x:c>
      <x:c r="C12" t="str">
        <x:v>%</x:v>
      </x:c>
      <x:c r="D12" t="str"/>
    </x:row>
    <x:row r="13">
      <x:c r="A13" t="str">
        <x:v>Ngưỡng vượt</x:v>
      </x:c>
      <x:c r="B13" s="26" t="n">
        <x:v>1</x:v>
      </x:c>
      <x:c r="C13" t="str">
        <x:v>%</x:v>
      </x:c>
      <x:c r="D13" t="str"/>
    </x:row>
    <x:row r="14">
      <x:c r="A14" t="str">
        <x:v>Tháng báo cáo</x:v>
      </x:c>
      <x:c r="B14" s="28" t="n">
        <x:v>46204</x:v>
      </x:c>
      <x:c r="C14" t="str">
        <x:v>tháng</x:v>
      </x:c>
      <x:c r="D14" t="str">
        <x:v>Ngày đầu tháng</x:v>
      </x:c>
    </x:row>
    <x:row r="15">
      <x:c r="A15" t="str">
        <x:v>Telegram Bot Token</x:v>
      </x:c>
      <x:c r="B15" s="22" t="str"/>
      <x:c r="C15" t="str"/>
      <x:c r="D15" t="str"/>
    </x:row>
    <x:row r="16">
      <x:c r="A16" t="str">
        <x:v>Telegram Chat ID</x:v>
      </x:c>
      <x:c r="B16" s="22" t="str"/>
      <x:c r="C16" t="str"/>
      <x:c r="D16" t="str"/>
    </x:row>
  </x:sheetData>
  <x:mergeCells>
    <x:mergeCell ref="A1:W1"/>
    <x:mergeCell ref="A2:W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8" hidden="0" customWidth="1"/>
    <x:col min="4" max="4" width="14" hidden="0" customWidth="1"/>
    <x:col min="5" max="5" width="15" hidden="0" customWidth="1"/>
    <x:col min="6" max="6" width="18" hidden="0" customWidth="1"/>
    <x:col min="7" max="7" width="16" hidden="0" customWidth="1"/>
    <x:col min="8" max="8" width="14" hidden="0" customWidth="1"/>
    <x:col min="9" max="9" width="14" hidden="0" customWidth="1"/>
  </x:cols>
  <x:sheetData>
    <x:row r="1" ht="26" customHeight="1">
      <x:c r="A1" s="3" t="str">
        <x:v>NGƯỜI DÙNG &amp; PHÂN QUYỀN</x:v>
      </x:c>
    </x:row>
    <x:row r="2" ht="28" customHeight="1">
      <x:c r="A2" s="8" t="str">
        <x:v>Privacy_Tag: FAMILY / PERSONAL / BUSINESS. PERSONAL chỉ chủ sở hữu và ADMIN xem.</x:v>
      </x:c>
    </x:row>
    <x:row r="4" ht="30" customHeight="1">
      <x:c r="A4" s="16" t="str">
        <x:v>User_ID</x:v>
      </x:c>
      <x:c r="B4" s="16" t="str">
        <x:v>Họ tên</x:v>
      </x:c>
      <x:c r="C4" s="16" t="str">
        <x:v>Email</x:v>
      </x:c>
      <x:c r="D4" s="16" t="str">
        <x:v>Vai trò</x:v>
      </x:c>
      <x:c r="E4" s="16" t="str">
        <x:v>Quan hệ</x:v>
      </x:c>
      <x:c r="F4" s="16" t="str">
        <x:v>Privacy mặc định</x:v>
      </x:c>
      <x:c r="G4" s="16" t="str">
        <x:v>Xem toàn bộ</x:v>
      </x:c>
      <x:c r="H4" s="16" t="str">
        <x:v>Trạng thái</x:v>
      </x:c>
      <x:c r="I4" s="16" t="str">
        <x:v>Ngày tạo</x:v>
      </x:c>
    </x:row>
    <x:row r="5">
      <x:c r="A5" t="str">
        <x:v>USR001</x:v>
      </x:c>
      <x:c r="B5" s="22" t="str">
        <x:v>Lưu Văn Chiến</x:v>
      </x:c>
      <x:c r="C5" s="22" t="str"/>
      <x:c r="D5" s="22" t="str">
        <x:v>ADMIN</x:v>
      </x:c>
      <x:c r="E5" s="22" t="str">
        <x:v>Chồng</x:v>
      </x:c>
      <x:c r="F5" s="22" t="str">
        <x:v>PERSONAL</x:v>
      </x:c>
      <x:c r="G5" s="22" t="str">
        <x:v>Có</x:v>
      </x:c>
      <x:c r="H5" s="22" t="str">
        <x:v>Hoạt động</x:v>
      </x:c>
      <x:c r="I5" s="30" t="n">
        <x:v>46204</x:v>
      </x:c>
    </x:row>
    <x:row r="6">
      <x:c r="A6" t="str">
        <x:v>USR002</x:v>
      </x:c>
      <x:c r="B6" s="22" t="str">
        <x:v>Vợ</x:v>
      </x:c>
      <x:c r="C6" s="22" t="str"/>
      <x:c r="D6" s="22" t="str">
        <x:v>SPOUSE</x:v>
      </x:c>
      <x:c r="E6" s="22" t="str">
        <x:v>Vợ</x:v>
      </x:c>
      <x:c r="F6" s="22" t="str">
        <x:v>PERSONAL</x:v>
      </x:c>
      <x:c r="G6" s="22" t="str">
        <x:v>Có</x:v>
      </x:c>
      <x:c r="H6" s="22" t="str">
        <x:v>Hoạt động</x:v>
      </x:c>
      <x:c r="I6" s="30" t="n">
        <x:v>46204</x:v>
      </x:c>
    </x:row>
    <x:row r="7">
      <x:c r="A7" t="str">
        <x:v>USR003</x:v>
      </x:c>
      <x:c r="B7" s="22" t="str">
        <x:v>Thành viên</x:v>
      </x:c>
      <x:c r="C7" s="22" t="str"/>
      <x:c r="D7" s="22" t="str">
        <x:v>MEMBER</x:v>
      </x:c>
      <x:c r="E7" s="22" t="str">
        <x:v>Gia đình</x:v>
      </x:c>
      <x:c r="F7" s="22" t="str">
        <x:v>FAMILY</x:v>
      </x:c>
      <x:c r="G7" s="22" t="str">
        <x:v>Không</x:v>
      </x:c>
      <x:c r="H7" s="22" t="str">
        <x:v>Chờ</x:v>
      </x:c>
      <x:c r="I7" s="30" t="n">
        <x:v>46204</x:v>
      </x:c>
    </x:row>
    <x:row r="8">
      <x:c r="A8" t="str">
        <x:v>USR004</x:v>
      </x:c>
      <x:c r="B8" s="22" t="str">
        <x:v>Người xem</x:v>
      </x:c>
      <x:c r="C8" s="22" t="str"/>
      <x:c r="D8" s="22" t="str">
        <x:v>VIEWER</x:v>
      </x:c>
      <x:c r="E8" s="22" t="str">
        <x:v>Khác</x:v>
      </x:c>
      <x:c r="F8" s="22" t="str">
        <x:v>FAMILY</x:v>
      </x:c>
      <x:c r="G8" s="22" t="str">
        <x:v>Không</x:v>
      </x:c>
      <x:c r="H8" s="22" t="str">
        <x:v>Chờ</x:v>
      </x:c>
      <x:c r="I8" s="30" t="n">
        <x:v>46204</x:v>
      </x:c>
    </x:row>
    <x:row r="9">
      <x:c r="B9" s="22"/>
      <x:c r="C9" s="22"/>
      <x:c r="D9" s="22"/>
      <x:c r="E9" s="22"/>
      <x:c r="F9" s="22"/>
      <x:c r="G9" s="22"/>
      <x:c r="H9" s="22"/>
      <x:c r="I9" s="30"/>
    </x:row>
    <x:row r="10">
      <x:c r="B10" s="22"/>
      <x:c r="C10" s="22"/>
      <x:c r="D10" s="22"/>
      <x:c r="E10" s="22"/>
      <x:c r="F10" s="22"/>
      <x:c r="G10" s="22"/>
      <x:c r="H10" s="22"/>
      <x:c r="I10" s="30"/>
    </x:row>
    <x:row r="11">
      <x:c r="B11" s="22"/>
      <x:c r="C11" s="22"/>
      <x:c r="D11" s="22"/>
      <x:c r="E11" s="22"/>
      <x:c r="F11" s="22"/>
      <x:c r="G11" s="22"/>
      <x:c r="H11" s="22"/>
      <x:c r="I11" s="30"/>
    </x:row>
    <x:row r="12">
      <x:c r="B12" s="22"/>
      <x:c r="C12" s="22"/>
      <x:c r="D12" s="22"/>
      <x:c r="E12" s="22"/>
      <x:c r="F12" s="22"/>
      <x:c r="G12" s="22"/>
      <x:c r="H12" s="22"/>
      <x:c r="I12" s="30"/>
    </x:row>
    <x:row r="13">
      <x:c r="B13" s="22"/>
      <x:c r="C13" s="22"/>
      <x:c r="D13" s="22"/>
      <x:c r="E13" s="22"/>
      <x:c r="F13" s="22"/>
      <x:c r="G13" s="22"/>
      <x:c r="H13" s="22"/>
      <x:c r="I13" s="30"/>
    </x:row>
    <x:row r="14">
      <x:c r="B14" s="22"/>
      <x:c r="C14" s="22"/>
      <x:c r="D14" s="22"/>
      <x:c r="E14" s="22"/>
      <x:c r="F14" s="22"/>
      <x:c r="G14" s="22"/>
      <x:c r="H14" s="22"/>
      <x:c r="I14" s="30"/>
    </x:row>
    <x:row r="15">
      <x:c r="B15" s="22"/>
      <x:c r="C15" s="22"/>
      <x:c r="D15" s="22"/>
      <x:c r="E15" s="22"/>
      <x:c r="F15" s="22"/>
      <x:c r="G15" s="22"/>
      <x:c r="H15" s="22"/>
      <x:c r="I15" s="30"/>
    </x:row>
    <x:row r="16">
      <x:c r="B16" s="22"/>
      <x:c r="C16" s="22"/>
      <x:c r="D16" s="22"/>
      <x:c r="E16" s="22"/>
      <x:c r="F16" s="22"/>
      <x:c r="G16" s="22"/>
      <x:c r="H16" s="22"/>
      <x:c r="I16" s="30"/>
    </x:row>
    <x:row r="17">
      <x:c r="B17" s="22"/>
      <x:c r="C17" s="22"/>
      <x:c r="D17" s="22"/>
      <x:c r="E17" s="22"/>
      <x:c r="F17" s="22"/>
      <x:c r="G17" s="22"/>
      <x:c r="H17" s="22"/>
      <x:c r="I17" s="30"/>
    </x:row>
    <x:row r="18">
      <x:c r="B18" s="22"/>
      <x:c r="C18" s="22"/>
      <x:c r="D18" s="22"/>
      <x:c r="E18" s="22"/>
      <x:c r="F18" s="22"/>
      <x:c r="G18" s="22"/>
      <x:c r="H18" s="22"/>
      <x:c r="I18" s="30"/>
    </x:row>
    <x:row r="19">
      <x:c r="B19" s="22"/>
      <x:c r="C19" s="22"/>
      <x:c r="D19" s="22"/>
      <x:c r="E19" s="22"/>
      <x:c r="F19" s="22"/>
      <x:c r="G19" s="22"/>
      <x:c r="H19" s="22"/>
      <x:c r="I19" s="30"/>
    </x:row>
    <x:row r="20">
      <x:c r="B20" s="22"/>
      <x:c r="C20" s="22"/>
      <x:c r="D20" s="22"/>
      <x:c r="E20" s="22"/>
      <x:c r="F20" s="22"/>
      <x:c r="G20" s="22"/>
      <x:c r="H20" s="22"/>
      <x:c r="I20" s="30"/>
    </x:row>
    <x:row r="21">
      <x:c r="B21" s="22"/>
      <x:c r="C21" s="22"/>
      <x:c r="D21" s="22"/>
      <x:c r="E21" s="22"/>
      <x:c r="F21" s="22"/>
      <x:c r="G21" s="22"/>
      <x:c r="H21" s="22"/>
      <x:c r="I21" s="30"/>
    </x:row>
    <x:row r="22">
      <x:c r="B22" s="22"/>
      <x:c r="C22" s="22"/>
      <x:c r="D22" s="22"/>
      <x:c r="E22" s="22"/>
      <x:c r="F22" s="22"/>
      <x:c r="G22" s="22"/>
      <x:c r="H22" s="22"/>
      <x:c r="I22" s="30"/>
    </x:row>
    <x:row r="23">
      <x:c r="B23" s="22"/>
      <x:c r="C23" s="22"/>
      <x:c r="D23" s="22"/>
      <x:c r="E23" s="22"/>
      <x:c r="F23" s="22"/>
      <x:c r="G23" s="22"/>
      <x:c r="H23" s="22"/>
      <x:c r="I23" s="30"/>
    </x:row>
    <x:row r="24">
      <x:c r="B24" s="22"/>
      <x:c r="C24" s="22"/>
      <x:c r="D24" s="22"/>
      <x:c r="E24" s="22"/>
      <x:c r="F24" s="22"/>
      <x:c r="G24" s="22"/>
      <x:c r="H24" s="22"/>
      <x:c r="I24" s="30"/>
    </x:row>
    <x:row r="25">
      <x:c r="B25" s="22"/>
      <x:c r="C25" s="22"/>
      <x:c r="D25" s="22"/>
      <x:c r="E25" s="22"/>
      <x:c r="F25" s="22"/>
      <x:c r="G25" s="22"/>
      <x:c r="H25" s="22"/>
      <x:c r="I25" s="30"/>
    </x:row>
    <x:row r="26">
      <x:c r="B26" s="22"/>
      <x:c r="C26" s="22"/>
      <x:c r="D26" s="22"/>
      <x:c r="E26" s="22"/>
      <x:c r="F26" s="22"/>
      <x:c r="G26" s="22"/>
      <x:c r="H26" s="22"/>
      <x:c r="I26" s="30"/>
    </x:row>
    <x:row r="27">
      <x:c r="B27" s="22"/>
      <x:c r="C27" s="22"/>
      <x:c r="D27" s="22"/>
      <x:c r="E27" s="22"/>
      <x:c r="F27" s="22"/>
      <x:c r="G27" s="22"/>
      <x:c r="H27" s="22"/>
      <x:c r="I27" s="30"/>
    </x:row>
    <x:row r="28">
      <x:c r="B28" s="22"/>
      <x:c r="C28" s="22"/>
      <x:c r="D28" s="22"/>
      <x:c r="E28" s="22"/>
      <x:c r="F28" s="22"/>
      <x:c r="G28" s="22"/>
      <x:c r="H28" s="22"/>
      <x:c r="I28" s="30"/>
    </x:row>
    <x:row r="29">
      <x:c r="B29" s="22"/>
      <x:c r="C29" s="22"/>
      <x:c r="D29" s="22"/>
      <x:c r="E29" s="22"/>
      <x:c r="F29" s="22"/>
      <x:c r="G29" s="22"/>
      <x:c r="H29" s="22"/>
      <x:c r="I29" s="30"/>
    </x:row>
    <x:row r="30">
      <x:c r="B30" s="22"/>
      <x:c r="C30" s="22"/>
      <x:c r="D30" s="22"/>
      <x:c r="E30" s="22"/>
      <x:c r="F30" s="22"/>
      <x:c r="G30" s="22"/>
      <x:c r="H30" s="22"/>
      <x:c r="I30" s="30"/>
    </x:row>
    <x:row r="31">
      <x:c r="B31" s="22"/>
      <x:c r="C31" s="22"/>
      <x:c r="D31" s="22"/>
      <x:c r="E31" s="22"/>
      <x:c r="F31" s="22"/>
      <x:c r="G31" s="22"/>
      <x:c r="H31" s="22"/>
      <x:c r="I31" s="30"/>
    </x:row>
    <x:row r="32">
      <x:c r="B32" s="22"/>
      <x:c r="C32" s="22"/>
      <x:c r="D32" s="22"/>
      <x:c r="E32" s="22"/>
      <x:c r="F32" s="22"/>
      <x:c r="G32" s="22"/>
      <x:c r="H32" s="22"/>
      <x:c r="I32" s="30"/>
    </x:row>
    <x:row r="33">
      <x:c r="B33" s="22"/>
      <x:c r="C33" s="22"/>
      <x:c r="D33" s="22"/>
      <x:c r="E33" s="22"/>
      <x:c r="F33" s="22"/>
      <x:c r="G33" s="22"/>
      <x:c r="H33" s="22"/>
      <x:c r="I33" s="30"/>
    </x:row>
    <x:row r="34">
      <x:c r="B34" s="22"/>
      <x:c r="C34" s="22"/>
      <x:c r="D34" s="22"/>
      <x:c r="E34" s="22"/>
      <x:c r="F34" s="22"/>
      <x:c r="G34" s="22"/>
      <x:c r="H34" s="22"/>
      <x:c r="I34" s="30"/>
    </x:row>
    <x:row r="35">
      <x:c r="B35" s="22"/>
      <x:c r="C35" s="22"/>
      <x:c r="D35" s="22"/>
      <x:c r="E35" s="22"/>
      <x:c r="F35" s="22"/>
      <x:c r="G35" s="22"/>
      <x:c r="H35" s="22"/>
      <x:c r="I35" s="30"/>
    </x:row>
    <x:row r="36">
      <x:c r="B36" s="22"/>
      <x:c r="C36" s="22"/>
      <x:c r="D36" s="22"/>
      <x:c r="E36" s="22"/>
      <x:c r="F36" s="22"/>
      <x:c r="G36" s="22"/>
      <x:c r="H36" s="22"/>
      <x:c r="I36" s="30"/>
    </x:row>
    <x:row r="37">
      <x:c r="B37" s="22"/>
      <x:c r="C37" s="22"/>
      <x:c r="D37" s="22"/>
      <x:c r="E37" s="22"/>
      <x:c r="F37" s="22"/>
      <x:c r="G37" s="22"/>
      <x:c r="H37" s="22"/>
      <x:c r="I37" s="30"/>
    </x:row>
    <x:row r="38">
      <x:c r="B38" s="22"/>
      <x:c r="C38" s="22"/>
      <x:c r="D38" s="22"/>
      <x:c r="E38" s="22"/>
      <x:c r="F38" s="22"/>
      <x:c r="G38" s="22"/>
      <x:c r="H38" s="22"/>
      <x:c r="I38" s="30"/>
    </x:row>
    <x:row r="39">
      <x:c r="B39" s="22"/>
      <x:c r="C39" s="22"/>
      <x:c r="D39" s="22"/>
      <x:c r="E39" s="22"/>
      <x:c r="F39" s="22"/>
      <x:c r="G39" s="22"/>
      <x:c r="H39" s="22"/>
      <x:c r="I39" s="30"/>
    </x:row>
    <x:row r="40">
      <x:c r="B40" s="22"/>
      <x:c r="C40" s="22"/>
      <x:c r="D40" s="22"/>
      <x:c r="E40" s="22"/>
      <x:c r="F40" s="22"/>
      <x:c r="G40" s="22"/>
      <x:c r="H40" s="22"/>
      <x:c r="I40" s="30"/>
    </x:row>
    <x:row r="41">
      <x:c r="B41" s="22"/>
      <x:c r="C41" s="22"/>
      <x:c r="D41" s="22"/>
      <x:c r="E41" s="22"/>
      <x:c r="F41" s="22"/>
      <x:c r="G41" s="22"/>
      <x:c r="H41" s="22"/>
      <x:c r="I41" s="30"/>
    </x:row>
    <x:row r="42">
      <x:c r="B42" s="22"/>
      <x:c r="C42" s="22"/>
      <x:c r="D42" s="22"/>
      <x:c r="E42" s="22"/>
      <x:c r="F42" s="22"/>
      <x:c r="G42" s="22"/>
      <x:c r="H42" s="22"/>
      <x:c r="I42" s="30"/>
    </x:row>
    <x:row r="43">
      <x:c r="B43" s="22"/>
      <x:c r="C43" s="22"/>
      <x:c r="D43" s="22"/>
      <x:c r="E43" s="22"/>
      <x:c r="F43" s="22"/>
      <x:c r="G43" s="22"/>
      <x:c r="H43" s="22"/>
      <x:c r="I43" s="30"/>
    </x:row>
    <x:row r="44">
      <x:c r="B44" s="22"/>
      <x:c r="C44" s="22"/>
      <x:c r="D44" s="22"/>
      <x:c r="E44" s="22"/>
      <x:c r="F44" s="22"/>
      <x:c r="G44" s="22"/>
      <x:c r="H44" s="22"/>
      <x:c r="I44" s="30"/>
    </x:row>
    <x:row r="45">
      <x:c r="B45" s="22"/>
      <x:c r="C45" s="22"/>
      <x:c r="D45" s="22"/>
      <x:c r="E45" s="22"/>
      <x:c r="F45" s="22"/>
      <x:c r="G45" s="22"/>
      <x:c r="H45" s="22"/>
      <x:c r="I45" s="30"/>
    </x:row>
    <x:row r="46">
      <x:c r="B46" s="22"/>
      <x:c r="C46" s="22"/>
      <x:c r="D46" s="22"/>
      <x:c r="E46" s="22"/>
      <x:c r="F46" s="22"/>
      <x:c r="G46" s="22"/>
      <x:c r="H46" s="22"/>
      <x:c r="I46" s="30"/>
    </x:row>
    <x:row r="47">
      <x:c r="B47" s="22"/>
      <x:c r="C47" s="22"/>
      <x:c r="D47" s="22"/>
      <x:c r="E47" s="22"/>
      <x:c r="F47" s="22"/>
      <x:c r="G47" s="22"/>
      <x:c r="H47" s="22"/>
      <x:c r="I47" s="30"/>
    </x:row>
    <x:row r="48">
      <x:c r="B48" s="22"/>
      <x:c r="C48" s="22"/>
      <x:c r="D48" s="22"/>
      <x:c r="E48" s="22"/>
      <x:c r="F48" s="22"/>
      <x:c r="G48" s="22"/>
      <x:c r="H48" s="22"/>
      <x:c r="I48" s="30"/>
    </x:row>
    <x:row r="49">
      <x:c r="B49" s="22"/>
      <x:c r="C49" s="22"/>
      <x:c r="D49" s="22"/>
      <x:c r="E49" s="22"/>
      <x:c r="F49" s="22"/>
      <x:c r="G49" s="22"/>
      <x:c r="H49" s="22"/>
      <x:c r="I49" s="30"/>
    </x:row>
    <x:row r="50">
      <x:c r="B50" s="22"/>
      <x:c r="C50" s="22"/>
      <x:c r="D50" s="22"/>
      <x:c r="E50" s="22"/>
      <x:c r="F50" s="22"/>
      <x:c r="G50" s="22"/>
      <x:c r="H50" s="22"/>
      <x:c r="I50" s="30"/>
    </x:row>
    <x:row r="51">
      <x:c r="B51" s="22"/>
      <x:c r="C51" s="22"/>
      <x:c r="D51" s="22"/>
      <x:c r="E51" s="22"/>
      <x:c r="F51" s="22"/>
      <x:c r="G51" s="22"/>
      <x:c r="H51" s="22"/>
      <x:c r="I51" s="30"/>
    </x:row>
    <x:row r="52">
      <x:c r="B52" s="22"/>
      <x:c r="C52" s="22"/>
      <x:c r="D52" s="22"/>
      <x:c r="E52" s="22"/>
      <x:c r="F52" s="22"/>
      <x:c r="G52" s="22"/>
      <x:c r="H52" s="22"/>
      <x:c r="I52" s="30"/>
    </x:row>
    <x:row r="53">
      <x:c r="B53" s="22"/>
      <x:c r="C53" s="22"/>
      <x:c r="D53" s="22"/>
      <x:c r="E53" s="22"/>
      <x:c r="F53" s="22"/>
      <x:c r="G53" s="22"/>
      <x:c r="H53" s="22"/>
      <x:c r="I53" s="30"/>
    </x:row>
    <x:row r="54">
      <x:c r="B54" s="22"/>
      <x:c r="C54" s="22"/>
      <x:c r="D54" s="22"/>
      <x:c r="E54" s="22"/>
      <x:c r="F54" s="22"/>
      <x:c r="G54" s="22"/>
      <x:c r="H54" s="22"/>
      <x:c r="I54" s="30"/>
    </x:row>
    <x:row r="55">
      <x:c r="B55" s="22"/>
      <x:c r="C55" s="22"/>
      <x:c r="D55" s="22"/>
      <x:c r="E55" s="22"/>
      <x:c r="F55" s="22"/>
      <x:c r="G55" s="22"/>
      <x:c r="H55" s="22"/>
      <x:c r="I55" s="30"/>
    </x:row>
    <x:row r="56">
      <x:c r="B56" s="22"/>
      <x:c r="C56" s="22"/>
      <x:c r="D56" s="22"/>
      <x:c r="E56" s="22"/>
      <x:c r="F56" s="22"/>
      <x:c r="G56" s="22"/>
      <x:c r="H56" s="22"/>
      <x:c r="I56" s="30"/>
    </x:row>
    <x:row r="57">
      <x:c r="B57" s="22"/>
      <x:c r="C57" s="22"/>
      <x:c r="D57" s="22"/>
      <x:c r="E57" s="22"/>
      <x:c r="F57" s="22"/>
      <x:c r="G57" s="22"/>
      <x:c r="H57" s="22"/>
      <x:c r="I57" s="30"/>
    </x:row>
    <x:row r="58">
      <x:c r="B58" s="22"/>
      <x:c r="C58" s="22"/>
      <x:c r="D58" s="22"/>
      <x:c r="E58" s="22"/>
      <x:c r="F58" s="22"/>
      <x:c r="G58" s="22"/>
      <x:c r="H58" s="22"/>
      <x:c r="I58" s="30"/>
    </x:row>
    <x:row r="59">
      <x:c r="B59" s="22"/>
      <x:c r="C59" s="22"/>
      <x:c r="D59" s="22"/>
      <x:c r="E59" s="22"/>
      <x:c r="F59" s="22"/>
      <x:c r="G59" s="22"/>
      <x:c r="H59" s="22"/>
      <x:c r="I59" s="30"/>
    </x:row>
    <x:row r="60">
      <x:c r="B60" s="22"/>
      <x:c r="C60" s="22"/>
      <x:c r="D60" s="22"/>
      <x:c r="E60" s="22"/>
      <x:c r="F60" s="22"/>
      <x:c r="G60" s="22"/>
      <x:c r="H60" s="22"/>
      <x:c r="I60" s="30"/>
    </x:row>
    <x:row r="61">
      <x:c r="B61" s="22"/>
      <x:c r="C61" s="22"/>
      <x:c r="D61" s="22"/>
      <x:c r="E61" s="22"/>
      <x:c r="F61" s="22"/>
      <x:c r="G61" s="22"/>
      <x:c r="H61" s="22"/>
      <x:c r="I61" s="30"/>
    </x:row>
    <x:row r="62">
      <x:c r="B62" s="22"/>
      <x:c r="C62" s="22"/>
      <x:c r="D62" s="22"/>
      <x:c r="E62" s="22"/>
      <x:c r="F62" s="22"/>
      <x:c r="G62" s="22"/>
      <x:c r="H62" s="22"/>
      <x:c r="I62" s="30"/>
    </x:row>
    <x:row r="63">
      <x:c r="B63" s="22"/>
      <x:c r="C63" s="22"/>
      <x:c r="D63" s="22"/>
      <x:c r="E63" s="22"/>
      <x:c r="F63" s="22"/>
      <x:c r="G63" s="22"/>
      <x:c r="H63" s="22"/>
      <x:c r="I63" s="30"/>
    </x:row>
    <x:row r="64">
      <x:c r="B64" s="22"/>
      <x:c r="C64" s="22"/>
      <x:c r="D64" s="22"/>
      <x:c r="E64" s="22"/>
      <x:c r="F64" s="22"/>
      <x:c r="G64" s="22"/>
      <x:c r="H64" s="22"/>
      <x:c r="I64" s="30"/>
    </x:row>
    <x:row r="65">
      <x:c r="B65" s="22"/>
      <x:c r="C65" s="22"/>
      <x:c r="D65" s="22"/>
      <x:c r="E65" s="22"/>
      <x:c r="F65" s="22"/>
      <x:c r="G65" s="22"/>
      <x:c r="H65" s="22"/>
      <x:c r="I65" s="30"/>
    </x:row>
    <x:row r="66">
      <x:c r="B66" s="22"/>
      <x:c r="C66" s="22"/>
      <x:c r="D66" s="22"/>
      <x:c r="E66" s="22"/>
      <x:c r="F66" s="22"/>
      <x:c r="G66" s="22"/>
      <x:c r="H66" s="22"/>
      <x:c r="I66" s="30"/>
    </x:row>
    <x:row r="67">
      <x:c r="B67" s="22"/>
      <x:c r="C67" s="22"/>
      <x:c r="D67" s="22"/>
      <x:c r="E67" s="22"/>
      <x:c r="F67" s="22"/>
      <x:c r="G67" s="22"/>
      <x:c r="H67" s="22"/>
      <x:c r="I67" s="30"/>
    </x:row>
    <x:row r="68">
      <x:c r="B68" s="22"/>
      <x:c r="C68" s="22"/>
      <x:c r="D68" s="22"/>
      <x:c r="E68" s="22"/>
      <x:c r="F68" s="22"/>
      <x:c r="G68" s="22"/>
      <x:c r="H68" s="22"/>
      <x:c r="I68" s="30"/>
    </x:row>
    <x:row r="69">
      <x:c r="B69" s="22"/>
      <x:c r="C69" s="22"/>
      <x:c r="D69" s="22"/>
      <x:c r="E69" s="22"/>
      <x:c r="F69" s="22"/>
      <x:c r="G69" s="22"/>
      <x:c r="H69" s="22"/>
      <x:c r="I69" s="30"/>
    </x:row>
    <x:row r="70">
      <x:c r="B70" s="22"/>
      <x:c r="C70" s="22"/>
      <x:c r="D70" s="22"/>
      <x:c r="E70" s="22"/>
      <x:c r="F70" s="22"/>
      <x:c r="G70" s="22"/>
      <x:c r="H70" s="22"/>
      <x:c r="I70" s="30"/>
    </x:row>
    <x:row r="71">
      <x:c r="B71" s="22"/>
      <x:c r="C71" s="22"/>
      <x:c r="D71" s="22"/>
      <x:c r="E71" s="22"/>
      <x:c r="F71" s="22"/>
      <x:c r="G71" s="22"/>
      <x:c r="H71" s="22"/>
      <x:c r="I71" s="30"/>
    </x:row>
    <x:row r="72">
      <x:c r="B72" s="22"/>
      <x:c r="C72" s="22"/>
      <x:c r="D72" s="22"/>
      <x:c r="E72" s="22"/>
      <x:c r="F72" s="22"/>
      <x:c r="G72" s="22"/>
      <x:c r="H72" s="22"/>
      <x:c r="I72" s="30"/>
    </x:row>
    <x:row r="73">
      <x:c r="B73" s="22"/>
      <x:c r="C73" s="22"/>
      <x:c r="D73" s="22"/>
      <x:c r="E73" s="22"/>
      <x:c r="F73" s="22"/>
      <x:c r="G73" s="22"/>
      <x:c r="H73" s="22"/>
      <x:c r="I73" s="30"/>
    </x:row>
    <x:row r="74">
      <x:c r="B74" s="22"/>
      <x:c r="C74" s="22"/>
      <x:c r="D74" s="22"/>
      <x:c r="E74" s="22"/>
      <x:c r="F74" s="22"/>
      <x:c r="G74" s="22"/>
      <x:c r="H74" s="22"/>
      <x:c r="I74" s="30"/>
    </x:row>
    <x:row r="75">
      <x:c r="B75" s="22"/>
      <x:c r="C75" s="22"/>
      <x:c r="D75" s="22"/>
      <x:c r="E75" s="22"/>
      <x:c r="F75" s="22"/>
      <x:c r="G75" s="22"/>
      <x:c r="H75" s="22"/>
      <x:c r="I75" s="30"/>
    </x:row>
    <x:row r="76">
      <x:c r="B76" s="22"/>
      <x:c r="C76" s="22"/>
      <x:c r="D76" s="22"/>
      <x:c r="E76" s="22"/>
      <x:c r="F76" s="22"/>
      <x:c r="G76" s="22"/>
      <x:c r="H76" s="22"/>
      <x:c r="I76" s="30"/>
    </x:row>
    <x:row r="77">
      <x:c r="B77" s="22"/>
      <x:c r="C77" s="22"/>
      <x:c r="D77" s="22"/>
      <x:c r="E77" s="22"/>
      <x:c r="F77" s="22"/>
      <x:c r="G77" s="22"/>
      <x:c r="H77" s="22"/>
      <x:c r="I77" s="30"/>
    </x:row>
    <x:row r="78">
      <x:c r="B78" s="22"/>
      <x:c r="C78" s="22"/>
      <x:c r="D78" s="22"/>
      <x:c r="E78" s="22"/>
      <x:c r="F78" s="22"/>
      <x:c r="G78" s="22"/>
      <x:c r="H78" s="22"/>
      <x:c r="I78" s="30"/>
    </x:row>
    <x:row r="79">
      <x:c r="B79" s="22"/>
      <x:c r="C79" s="22"/>
      <x:c r="D79" s="22"/>
      <x:c r="E79" s="22"/>
      <x:c r="F79" s="22"/>
      <x:c r="G79" s="22"/>
      <x:c r="H79" s="22"/>
      <x:c r="I79" s="30"/>
    </x:row>
    <x:row r="80">
      <x:c r="B80" s="22"/>
      <x:c r="C80" s="22"/>
      <x:c r="D80" s="22"/>
      <x:c r="E80" s="22"/>
      <x:c r="F80" s="22"/>
      <x:c r="G80" s="22"/>
      <x:c r="H80" s="22"/>
      <x:c r="I80" s="30"/>
    </x:row>
    <x:row r="81">
      <x:c r="B81" s="22"/>
      <x:c r="C81" s="22"/>
      <x:c r="D81" s="22"/>
      <x:c r="E81" s="22"/>
      <x:c r="F81" s="22"/>
      <x:c r="G81" s="22"/>
      <x:c r="H81" s="22"/>
      <x:c r="I81" s="30"/>
    </x:row>
    <x:row r="82">
      <x:c r="B82" s="22"/>
      <x:c r="C82" s="22"/>
      <x:c r="D82" s="22"/>
      <x:c r="E82" s="22"/>
      <x:c r="F82" s="22"/>
      <x:c r="G82" s="22"/>
      <x:c r="H82" s="22"/>
      <x:c r="I82" s="30"/>
    </x:row>
    <x:row r="83">
      <x:c r="B83" s="22"/>
      <x:c r="C83" s="22"/>
      <x:c r="D83" s="22"/>
      <x:c r="E83" s="22"/>
      <x:c r="F83" s="22"/>
      <x:c r="G83" s="22"/>
      <x:c r="H83" s="22"/>
      <x:c r="I83" s="30"/>
    </x:row>
    <x:row r="84">
      <x:c r="B84" s="22"/>
      <x:c r="C84" s="22"/>
      <x:c r="D84" s="22"/>
      <x:c r="E84" s="22"/>
      <x:c r="F84" s="22"/>
      <x:c r="G84" s="22"/>
      <x:c r="H84" s="22"/>
      <x:c r="I84" s="30"/>
    </x:row>
    <x:row r="85">
      <x:c r="B85" s="22"/>
      <x:c r="C85" s="22"/>
      <x:c r="D85" s="22"/>
      <x:c r="E85" s="22"/>
      <x:c r="F85" s="22"/>
      <x:c r="G85" s="22"/>
      <x:c r="H85" s="22"/>
      <x:c r="I85" s="30"/>
    </x:row>
    <x:row r="86">
      <x:c r="B86" s="22"/>
      <x:c r="C86" s="22"/>
      <x:c r="D86" s="22"/>
      <x:c r="E86" s="22"/>
      <x:c r="F86" s="22"/>
      <x:c r="G86" s="22"/>
      <x:c r="H86" s="22"/>
      <x:c r="I86" s="30"/>
    </x:row>
    <x:row r="87">
      <x:c r="B87" s="22"/>
      <x:c r="C87" s="22"/>
      <x:c r="D87" s="22"/>
      <x:c r="E87" s="22"/>
      <x:c r="F87" s="22"/>
      <x:c r="G87" s="22"/>
      <x:c r="H87" s="22"/>
      <x:c r="I87" s="30"/>
    </x:row>
    <x:row r="88">
      <x:c r="B88" s="22"/>
      <x:c r="C88" s="22"/>
      <x:c r="D88" s="22"/>
      <x:c r="E88" s="22"/>
      <x:c r="F88" s="22"/>
      <x:c r="G88" s="22"/>
      <x:c r="H88" s="22"/>
      <x:c r="I88" s="30"/>
    </x:row>
    <x:row r="89">
      <x:c r="B89" s="22"/>
      <x:c r="C89" s="22"/>
      <x:c r="D89" s="22"/>
      <x:c r="E89" s="22"/>
      <x:c r="F89" s="22"/>
      <x:c r="G89" s="22"/>
      <x:c r="H89" s="22"/>
      <x:c r="I89" s="30"/>
    </x:row>
    <x:row r="90">
      <x:c r="B90" s="22"/>
      <x:c r="C90" s="22"/>
      <x:c r="D90" s="22"/>
      <x:c r="E90" s="22"/>
      <x:c r="F90" s="22"/>
      <x:c r="G90" s="22"/>
      <x:c r="H90" s="22"/>
      <x:c r="I90" s="30"/>
    </x:row>
    <x:row r="91">
      <x:c r="B91" s="22"/>
      <x:c r="C91" s="22"/>
      <x:c r="D91" s="22"/>
      <x:c r="E91" s="22"/>
      <x:c r="F91" s="22"/>
      <x:c r="G91" s="22"/>
      <x:c r="H91" s="22"/>
      <x:c r="I91" s="30"/>
    </x:row>
    <x:row r="92">
      <x:c r="B92" s="22"/>
      <x:c r="C92" s="22"/>
      <x:c r="D92" s="22"/>
      <x:c r="E92" s="22"/>
      <x:c r="F92" s="22"/>
      <x:c r="G92" s="22"/>
      <x:c r="H92" s="22"/>
      <x:c r="I92" s="30"/>
    </x:row>
    <x:row r="93">
      <x:c r="B93" s="22"/>
      <x:c r="C93" s="22"/>
      <x:c r="D93" s="22"/>
      <x:c r="E93" s="22"/>
      <x:c r="F93" s="22"/>
      <x:c r="G93" s="22"/>
      <x:c r="H93" s="22"/>
      <x:c r="I93" s="30"/>
    </x:row>
    <x:row r="94">
      <x:c r="B94" s="22"/>
      <x:c r="C94" s="22"/>
      <x:c r="D94" s="22"/>
      <x:c r="E94" s="22"/>
      <x:c r="F94" s="22"/>
      <x:c r="G94" s="22"/>
      <x:c r="H94" s="22"/>
      <x:c r="I94" s="30"/>
    </x:row>
    <x:row r="95">
      <x:c r="B95" s="22"/>
      <x:c r="C95" s="22"/>
      <x:c r="D95" s="22"/>
      <x:c r="E95" s="22"/>
      <x:c r="F95" s="22"/>
      <x:c r="G95" s="22"/>
      <x:c r="H95" s="22"/>
      <x:c r="I95" s="30"/>
    </x:row>
    <x:row r="96">
      <x:c r="B96" s="22"/>
      <x:c r="C96" s="22"/>
      <x:c r="D96" s="22"/>
      <x:c r="E96" s="22"/>
      <x:c r="F96" s="22"/>
      <x:c r="G96" s="22"/>
      <x:c r="H96" s="22"/>
      <x:c r="I96" s="30"/>
    </x:row>
    <x:row r="97">
      <x:c r="B97" s="22"/>
      <x:c r="C97" s="22"/>
      <x:c r="D97" s="22"/>
      <x:c r="E97" s="22"/>
      <x:c r="F97" s="22"/>
      <x:c r="G97" s="22"/>
      <x:c r="H97" s="22"/>
      <x:c r="I97" s="30"/>
    </x:row>
    <x:row r="98">
      <x:c r="B98" s="22"/>
      <x:c r="C98" s="22"/>
      <x:c r="D98" s="22"/>
      <x:c r="E98" s="22"/>
      <x:c r="F98" s="22"/>
      <x:c r="G98" s="22"/>
      <x:c r="H98" s="22"/>
      <x:c r="I98" s="30"/>
    </x:row>
    <x:row r="99">
      <x:c r="B99" s="22"/>
      <x:c r="C99" s="22"/>
      <x:c r="D99" s="22"/>
      <x:c r="E99" s="22"/>
      <x:c r="F99" s="22"/>
      <x:c r="G99" s="22"/>
      <x:c r="H99" s="22"/>
      <x:c r="I99" s="30"/>
    </x:row>
    <x:row r="100">
      <x:c r="B100" s="22"/>
      <x:c r="C100" s="22"/>
      <x:c r="D100" s="22"/>
      <x:c r="E100" s="22"/>
      <x:c r="F100" s="22"/>
      <x:c r="G100" s="22"/>
      <x:c r="H100" s="22"/>
      <x:c r="I100" s="30"/>
    </x:row>
  </x:sheetData>
  <x:mergeCells>
    <x:mergeCell ref="A1:W1"/>
    <x:mergeCell ref="A2:W2"/>
  </x:mergeCells>
  <x:dataValidations count="2">
    <x:dataValidation type="list" sqref="D5:D100">
      <x:formula1>"ADMIN,SPOUSE,MEMBER,VIEWER"</x:formula1>
    </x:dataValidation>
    <x:dataValidation type="list" sqref="F5:F100">
      <x:formula1>"FAMILY,PERSONAL,BUSINESS"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4" hidden="0" customWidth="1"/>
    <x:col min="5" max="5" width="14" hidden="0" customWidth="1"/>
    <x:col min="6" max="6" width="10" hidden="0" customWidth="1"/>
    <x:col min="7" max="7" width="16" hidden="0" customWidth="1"/>
    <x:col min="8" max="8" width="16" hidden="0" customWidth="1"/>
    <x:col min="9" max="9" width="12" hidden="0" customWidth="1"/>
    <x:col min="10" max="10" width="18" hidden="0" customWidth="1"/>
    <x:col min="11" max="11" width="18" hidden="0" customWidth="1"/>
    <x:col min="12" max="12" width="14" hidden="0" customWidth="1"/>
    <x:col min="13" max="13" width="28" hidden="0" customWidth="1"/>
  </x:cols>
  <x:sheetData>
    <x:row r="1" ht="26" customHeight="1">
      <x:c r="A1" s="3" t="str">
        <x:v>TÀI KHOẢN &amp; TÀI SẢN</x:v>
      </x:c>
    </x:row>
    <x:row r="2" ht="28" customHeight="1">
      <x:c r="A2" s="8" t="str">
        <x:v>Mỗi giao dịch phải gắn tài khoản nguồn hoặc đích. Số dư tự tính từ sổ giao dịch.</x:v>
      </x:c>
    </x:row>
    <x:row r="4" ht="30" customHeight="1">
      <x:c r="A4" s="16" t="str">
        <x:v>Account_ID</x:v>
      </x:c>
      <x:c r="B4" s="16" t="str">
        <x:v>Tên tài khoản</x:v>
      </x:c>
      <x:c r="C4" s="16" t="str">
        <x:v>Loại</x:v>
      </x:c>
      <x:c r="D4" s="16" t="str">
        <x:v>Chủ sở hữu</x:v>
      </x:c>
      <x:c r="E4" s="16" t="str">
        <x:v>Privacy_Tag</x:v>
      </x:c>
      <x:c r="F4" s="16" t="str">
        <x:v>Tiền tệ</x:v>
      </x:c>
      <x:c r="G4" s="16" t="str">
        <x:v>Số dư đầu kỳ</x:v>
      </x:c>
      <x:c r="H4" s="16" t="str">
        <x:v>Số dư hiện tại</x:v>
      </x:c>
      <x:c r="I4" s="16" t="str">
        <x:v>Tỷ giá</x:v>
      </x:c>
      <x:c r="J4" s="16" t="str">
        <x:v>Quy đổi VND</x:v>
      </x:c>
      <x:c r="K4" s="16" t="str">
        <x:v>Tính tài sản ròng</x:v>
      </x:c>
      <x:c r="L4" s="16" t="str">
        <x:v>Trạng thái</x:v>
      </x:c>
      <x:c r="M4" s="16" t="str">
        <x:v>Ghi chú</x:v>
      </x:c>
    </x:row>
    <x:row r="5">
      <x:c r="A5" t="str">
        <x:v>ACC001</x:v>
      </x:c>
      <x:c r="B5" s="22" t="str">
        <x:v>Tiền mặt gia đình</x:v>
      </x:c>
      <x:c r="C5" s="22" t="str">
        <x:v>CASH</x:v>
      </x:c>
      <x:c r="D5" s="22" t="str">
        <x:v>USR001</x:v>
      </x:c>
      <x:c r="E5" s="22" t="str">
        <x:v>FAMILY</x:v>
      </x:c>
      <x:c r="F5" s="22" t="str">
        <x:v>VND</x:v>
      </x:c>
      <x:c r="G5" s="24" t="n">
        <x:v>0</x:v>
      </x:c>
      <x:c r="H5" s="34" t="e">
        <x:f>G5+SUMIFS(Transactions!$L:$L,Transactions!$H:$H,A5,Transactions!$C:$C,"POSTED")-SUMIFS(Transactions!$L:$L,Transactions!$G:$G,A5,Transactions!$C:$C,"POSTED")</x:f>
      </x:c>
      <x:c r="I5" s="34" t="n">
        <x:f>IF(F5="USD",Settings!$B$7,1)</x:f>
        <x:v>1</x:v>
      </x:c>
      <x:c r="J5" s="34" t="e">
        <x:f>H5*I5</x:f>
      </x:c>
      <x:c r="K5" s="22" t="str">
        <x:v>Có</x:v>
      </x:c>
      <x:c r="L5" s="22" t="str">
        <x:v>Hoạt động</x:v>
      </x:c>
      <x:c r="M5" s="22" t="str"/>
    </x:row>
    <x:row r="6">
      <x:c r="A6" t="str">
        <x:v>ACC002</x:v>
      </x:c>
      <x:c r="B6" s="22" t="str">
        <x:v>Ngân hàng cá nhân</x:v>
      </x:c>
      <x:c r="C6" s="22" t="str">
        <x:v>BANK</x:v>
      </x:c>
      <x:c r="D6" s="22" t="str">
        <x:v>USR001</x:v>
      </x:c>
      <x:c r="E6" s="22" t="str">
        <x:v>PERSONAL</x:v>
      </x:c>
      <x:c r="F6" s="22" t="str">
        <x:v>VND</x:v>
      </x:c>
      <x:c r="G6" s="24" t="n">
        <x:v>0</x:v>
      </x:c>
      <x:c r="H6" s="34" t="e">
        <x:f>G6+SUMIFS(Transactions!$L:$L,Transactions!$H:$H,A6,Transactions!$C:$C,"POSTED")-SUMIFS(Transactions!$L:$L,Transactions!$G:$G,A6,Transactions!$C:$C,"POSTED")</x:f>
      </x:c>
      <x:c r="I6" s="34" t="n">
        <x:f>IF(F6="USD",Settings!$B$7,1)</x:f>
        <x:v>1</x:v>
      </x:c>
      <x:c r="J6" s="34" t="e">
        <x:f>H6*I6</x:f>
      </x:c>
      <x:c r="K6" s="22" t="str">
        <x:v>Có</x:v>
      </x:c>
      <x:c r="L6" s="22" t="str">
        <x:v>Hoạt động</x:v>
      </x:c>
      <x:c r="M6" s="22" t="str"/>
    </x:row>
    <x:row r="7">
      <x:c r="A7" t="str">
        <x:v>ACC003</x:v>
      </x:c>
      <x:c r="B7" s="22" t="str">
        <x:v>Ngân hàng của vợ</x:v>
      </x:c>
      <x:c r="C7" s="22" t="str">
        <x:v>BANK</x:v>
      </x:c>
      <x:c r="D7" s="22" t="str">
        <x:v>USR002</x:v>
      </x:c>
      <x:c r="E7" s="22" t="str">
        <x:v>PERSONAL</x:v>
      </x:c>
      <x:c r="F7" s="22" t="str">
        <x:v>VND</x:v>
      </x:c>
      <x:c r="G7" s="24" t="n">
        <x:v>0</x:v>
      </x:c>
      <x:c r="H7" s="34" t="e">
        <x:f>G7+SUMIFS(Transactions!$L:$L,Transactions!$H:$H,A7,Transactions!$C:$C,"POSTED")-SUMIFS(Transactions!$L:$L,Transactions!$G:$G,A7,Transactions!$C:$C,"POSTED")</x:f>
      </x:c>
      <x:c r="I7" s="34" t="n">
        <x:f>IF(F7="USD",Settings!$B$7,1)</x:f>
        <x:v>1</x:v>
      </x:c>
      <x:c r="J7" s="34" t="e">
        <x:f>H7*I7</x:f>
      </x:c>
      <x:c r="K7" s="22" t="str">
        <x:v>Có</x:v>
      </x:c>
      <x:c r="L7" s="22" t="str">
        <x:v>Hoạt động</x:v>
      </x:c>
      <x:c r="M7" s="22" t="str"/>
    </x:row>
    <x:row r="8">
      <x:c r="A8" t="str">
        <x:v>ACC004</x:v>
      </x:c>
      <x:c r="B8" s="22" t="str">
        <x:v>Tài khoản USD</x:v>
      </x:c>
      <x:c r="C8" s="22" t="str">
        <x:v>BANK</x:v>
      </x:c>
      <x:c r="D8" s="22" t="str">
        <x:v>USR001</x:v>
      </x:c>
      <x:c r="E8" s="22" t="str">
        <x:v>PERSONAL</x:v>
      </x:c>
      <x:c r="F8" s="22" t="str">
        <x:v>USD</x:v>
      </x:c>
      <x:c r="G8" s="24" t="n">
        <x:v>0</x:v>
      </x:c>
      <x:c r="H8" s="34" t="e">
        <x:f>G8+SUMIFS(Transactions!$L:$L,Transactions!$H:$H,A8,Transactions!$C:$C,"POSTED")-SUMIFS(Transactions!$L:$L,Transactions!$G:$G,A8,Transactions!$C:$C,"POSTED")</x:f>
      </x:c>
      <x:c r="I8" s="34" t="n">
        <x:f>IF(F8="USD",Settings!$B$7,1)</x:f>
        <x:v>26000</x:v>
      </x:c>
      <x:c r="J8" s="34" t="e">
        <x:f>H8*I8</x:f>
      </x:c>
      <x:c r="K8" s="22" t="str">
        <x:v>Có</x:v>
      </x:c>
      <x:c r="L8" s="22" t="str">
        <x:v>Hoạt động</x:v>
      </x:c>
      <x:c r="M8" s="22" t="str"/>
    </x:row>
    <x:row r="9">
      <x:c r="A9" t="str">
        <x:v>ACC005</x:v>
      </x:c>
      <x:c r="B9" s="22" t="str">
        <x:v>Vàng</x:v>
      </x:c>
      <x:c r="C9" s="22" t="str">
        <x:v>GOLD</x:v>
      </x:c>
      <x:c r="D9" s="22" t="str">
        <x:v>USR001</x:v>
      </x:c>
      <x:c r="E9" s="22" t="str">
        <x:v>FAMILY</x:v>
      </x:c>
      <x:c r="F9" s="22" t="str">
        <x:v>VND</x:v>
      </x:c>
      <x:c r="G9" s="24" t="n">
        <x:v>0</x:v>
      </x:c>
      <x:c r="H9" s="34" t="e">
        <x:f>G9+SUMIFS(Transactions!$L:$L,Transactions!$H:$H,A9,Transactions!$C:$C,"POSTED")-SUMIFS(Transactions!$L:$L,Transactions!$G:$G,A9,Transactions!$C:$C,"POSTED")</x:f>
      </x:c>
      <x:c r="I9" s="34" t="n">
        <x:f>IF(F9="USD",Settings!$B$7,1)</x:f>
        <x:v>1</x:v>
      </x:c>
      <x:c r="J9" s="34" t="e">
        <x:f>H9*I9</x:f>
      </x:c>
      <x:c r="K9" s="22" t="str">
        <x:v>Có</x:v>
      </x:c>
      <x:c r="L9" s="22" t="str">
        <x:v>Hoạt động</x:v>
      </x:c>
      <x:c r="M9" s="22" t="str">
        <x:v>Định giá thủ công</x:v>
      </x:c>
    </x:row>
    <x:row r="10">
      <x:c r="A10" t="str">
        <x:v>ACC006</x:v>
      </x:c>
      <x:c r="B10" s="22" t="str">
        <x:v>Ô tô</x:v>
      </x:c>
      <x:c r="C10" s="22" t="str">
        <x:v>VEHICLE</x:v>
      </x:c>
      <x:c r="D10" s="22" t="str">
        <x:v>USR001</x:v>
      </x:c>
      <x:c r="E10" s="22" t="str">
        <x:v>FAMILY</x:v>
      </x:c>
      <x:c r="F10" s="22" t="str">
        <x:v>VND</x:v>
      </x:c>
      <x:c r="G10" s="24" t="n">
        <x:v>0</x:v>
      </x:c>
      <x:c r="H10" s="34" t="e">
        <x:f>G10+SUMIFS(Transactions!$L:$L,Transactions!$H:$H,A10,Transactions!$C:$C,"POSTED")-SUMIFS(Transactions!$L:$L,Transactions!$G:$G,A10,Transactions!$C:$C,"POSTED")</x:f>
      </x:c>
      <x:c r="I10" s="34" t="n">
        <x:f>IF(F10="USD",Settings!$B$7,1)</x:f>
        <x:v>1</x:v>
      </x:c>
      <x:c r="J10" s="34" t="e">
        <x:f>H10*I10</x:f>
      </x:c>
      <x:c r="K10" s="22" t="str">
        <x:v>Có</x:v>
      </x:c>
      <x:c r="L10" s="22" t="str">
        <x:v>Hoạt động</x:v>
      </x:c>
      <x:c r="M10" s="22" t="str">
        <x:v>Giá thanh lý</x:v>
      </x:c>
    </x:row>
    <x:row r="11">
      <x:c r="A11" t="str">
        <x:v>ACC007</x:v>
      </x:c>
      <x:c r="B11" s="22" t="str">
        <x:v>Xe máy</x:v>
      </x:c>
      <x:c r="C11" s="22" t="str">
        <x:v>VEHICLE</x:v>
      </x:c>
      <x:c r="D11" s="22" t="str">
        <x:v>USR001</x:v>
      </x:c>
      <x:c r="E11" s="22" t="str">
        <x:v>FAMILY</x:v>
      </x:c>
      <x:c r="F11" s="22" t="str">
        <x:v>VND</x:v>
      </x:c>
      <x:c r="G11" s="24" t="n">
        <x:v>0</x:v>
      </x:c>
      <x:c r="H11" s="34" t="e">
        <x:f>G11+SUMIFS(Transactions!$L:$L,Transactions!$H:$H,A11,Transactions!$C:$C,"POSTED")-SUMIFS(Transactions!$L:$L,Transactions!$G:$G,A11,Transactions!$C:$C,"POSTED")</x:f>
      </x:c>
      <x:c r="I11" s="34" t="n">
        <x:f>IF(F11="USD",Settings!$B$7,1)</x:f>
        <x:v>1</x:v>
      </x:c>
      <x:c r="J11" s="34" t="e">
        <x:f>H11*I11</x:f>
      </x:c>
      <x:c r="K11" s="22" t="str">
        <x:v>Có</x:v>
      </x:c>
      <x:c r="L11" s="22" t="str">
        <x:v>Hoạt động</x:v>
      </x:c>
      <x:c r="M11" s="22" t="str">
        <x:v>Giá thanh lý</x:v>
      </x:c>
    </x:row>
    <x:row r="12">
      <x:c r="A12" t="str">
        <x:v>ACC008</x:v>
      </x:c>
      <x:c r="B12" s="22" t="str">
        <x:v>Khoản vay</x:v>
      </x:c>
      <x:c r="C12" s="22" t="str">
        <x:v>LOAN</x:v>
      </x:c>
      <x:c r="D12" s="22" t="str">
        <x:v>USR001</x:v>
      </x:c>
      <x:c r="E12" s="22" t="str">
        <x:v>FAMILY</x:v>
      </x:c>
      <x:c r="F12" s="22" t="str">
        <x:v>VND</x:v>
      </x:c>
      <x:c r="G12" s="24" t="n">
        <x:v>0</x:v>
      </x:c>
      <x:c r="H12" s="34" t="e">
        <x:f>G12+SUMIFS(Transactions!$L:$L,Transactions!$H:$H,A12,Transactions!$C:$C,"POSTED")-SUMIFS(Transactions!$L:$L,Transactions!$G:$G,A12,Transactions!$C:$C,"POSTED")</x:f>
      </x:c>
      <x:c r="I12" s="34" t="n">
        <x:f>IF(F12="USD",Settings!$B$7,1)</x:f>
        <x:v>1</x:v>
      </x:c>
      <x:c r="J12" s="34" t="e">
        <x:f>H12*I12</x:f>
      </x:c>
      <x:c r="K12" s="22" t="str">
        <x:v>Có</x:v>
      </x:c>
      <x:c r="L12" s="22" t="str">
        <x:v>Hoạt động</x:v>
      </x:c>
      <x:c r="M12" s="22" t="str">
        <x:v>Có thể để số âm</x:v>
      </x:c>
    </x:row>
    <x:row r="13">
      <x:c r="B13" s="22"/>
      <x:c r="C13" s="22"/>
      <x:c r="D13" s="22"/>
      <x:c r="E13" s="22"/>
      <x:c r="F13" s="22"/>
      <x:c r="G13" s="24"/>
      <x:c r="H13" s="34" t="e">
        <x:f>G13+SUMIFS(Transactions!$L:$L,Transactions!$H:$H,A13,Transactions!$C:$C,"POSTED")-SUMIFS(Transactions!$L:$L,Transactions!$G:$G,A13,Transactions!$C:$C,"POSTED")</x:f>
      </x:c>
      <x:c r="I13" s="34" t="n">
        <x:f>IF(F13="USD",Settings!$B$7,1)</x:f>
        <x:v>1</x:v>
      </x:c>
      <x:c r="J13" s="34" t="e">
        <x:f>H13*I13</x:f>
      </x:c>
      <x:c r="K13" s="22"/>
      <x:c r="L13" s="22"/>
      <x:c r="M13" s="22"/>
    </x:row>
    <x:row r="14">
      <x:c r="B14" s="22"/>
      <x:c r="C14" s="22"/>
      <x:c r="D14" s="22"/>
      <x:c r="E14" s="22"/>
      <x:c r="F14" s="22"/>
      <x:c r="G14" s="24"/>
      <x:c r="H14" s="34" t="e">
        <x:f>G14+SUMIFS(Transactions!$L:$L,Transactions!$H:$H,A14,Transactions!$C:$C,"POSTED")-SUMIFS(Transactions!$L:$L,Transactions!$G:$G,A14,Transactions!$C:$C,"POSTED")</x:f>
      </x:c>
      <x:c r="I14" s="34" t="n">
        <x:f>IF(F14="USD",Settings!$B$7,1)</x:f>
        <x:v>1</x:v>
      </x:c>
      <x:c r="J14" s="34" t="e">
        <x:f>H14*I14</x:f>
      </x:c>
      <x:c r="K14" s="22"/>
      <x:c r="L14" s="22"/>
      <x:c r="M14" s="22"/>
    </x:row>
    <x:row r="15">
      <x:c r="B15" s="22"/>
      <x:c r="C15" s="22"/>
      <x:c r="D15" s="22"/>
      <x:c r="E15" s="22"/>
      <x:c r="F15" s="22"/>
      <x:c r="G15" s="24"/>
      <x:c r="H15" s="34" t="e">
        <x:f>G15+SUMIFS(Transactions!$L:$L,Transactions!$H:$H,A15,Transactions!$C:$C,"POSTED")-SUMIFS(Transactions!$L:$L,Transactions!$G:$G,A15,Transactions!$C:$C,"POSTED")</x:f>
      </x:c>
      <x:c r="I15" s="34" t="n">
        <x:f>IF(F15="USD",Settings!$B$7,1)</x:f>
        <x:v>1</x:v>
      </x:c>
      <x:c r="J15" s="34" t="e">
        <x:f>H15*I15</x:f>
      </x:c>
      <x:c r="K15" s="22"/>
      <x:c r="L15" s="22"/>
      <x:c r="M15" s="22"/>
    </x:row>
    <x:row r="16">
      <x:c r="B16" s="22"/>
      <x:c r="C16" s="22"/>
      <x:c r="D16" s="22"/>
      <x:c r="E16" s="22"/>
      <x:c r="F16" s="22"/>
      <x:c r="G16" s="24"/>
      <x:c r="H16" s="34" t="e">
        <x:f>G16+SUMIFS(Transactions!$L:$L,Transactions!$H:$H,A16,Transactions!$C:$C,"POSTED")-SUMIFS(Transactions!$L:$L,Transactions!$G:$G,A16,Transactions!$C:$C,"POSTED")</x:f>
      </x:c>
      <x:c r="I16" s="34" t="n">
        <x:f>IF(F16="USD",Settings!$B$7,1)</x:f>
        <x:v>1</x:v>
      </x:c>
      <x:c r="J16" s="34" t="e">
        <x:f>H16*I16</x:f>
      </x:c>
      <x:c r="K16" s="22"/>
      <x:c r="L16" s="22"/>
      <x:c r="M16" s="22"/>
    </x:row>
    <x:row r="17">
      <x:c r="B17" s="22"/>
      <x:c r="C17" s="22"/>
      <x:c r="D17" s="22"/>
      <x:c r="E17" s="22"/>
      <x:c r="F17" s="22"/>
      <x:c r="G17" s="24"/>
      <x:c r="H17" s="34" t="e">
        <x:f>G17+SUMIFS(Transactions!$L:$L,Transactions!$H:$H,A17,Transactions!$C:$C,"POSTED")-SUMIFS(Transactions!$L:$L,Transactions!$G:$G,A17,Transactions!$C:$C,"POSTED")</x:f>
      </x:c>
      <x:c r="I17" s="34" t="n">
        <x:f>IF(F17="USD",Settings!$B$7,1)</x:f>
        <x:v>1</x:v>
      </x:c>
      <x:c r="J17" s="34" t="e">
        <x:f>H17*I17</x:f>
      </x:c>
      <x:c r="K17" s="22"/>
      <x:c r="L17" s="22"/>
      <x:c r="M17" s="22"/>
    </x:row>
    <x:row r="18">
      <x:c r="B18" s="22"/>
      <x:c r="C18" s="22"/>
      <x:c r="D18" s="22"/>
      <x:c r="E18" s="22"/>
      <x:c r="F18" s="22"/>
      <x:c r="G18" s="24"/>
      <x:c r="H18" s="34" t="e">
        <x:f>G18+SUMIFS(Transactions!$L:$L,Transactions!$H:$H,A18,Transactions!$C:$C,"POSTED")-SUMIFS(Transactions!$L:$L,Transactions!$G:$G,A18,Transactions!$C:$C,"POSTED")</x:f>
      </x:c>
      <x:c r="I18" s="34" t="n">
        <x:f>IF(F18="USD",Settings!$B$7,1)</x:f>
        <x:v>1</x:v>
      </x:c>
      <x:c r="J18" s="34" t="e">
        <x:f>H18*I18</x:f>
      </x:c>
      <x:c r="K18" s="22"/>
      <x:c r="L18" s="22"/>
      <x:c r="M18" s="22"/>
    </x:row>
    <x:row r="19">
      <x:c r="B19" s="22"/>
      <x:c r="C19" s="22"/>
      <x:c r="D19" s="22"/>
      <x:c r="E19" s="22"/>
      <x:c r="F19" s="22"/>
      <x:c r="G19" s="24"/>
      <x:c r="H19" s="34" t="e">
        <x:f>G19+SUMIFS(Transactions!$L:$L,Transactions!$H:$H,A19,Transactions!$C:$C,"POSTED")-SUMIFS(Transactions!$L:$L,Transactions!$G:$G,A19,Transactions!$C:$C,"POSTED")</x:f>
      </x:c>
      <x:c r="I19" s="34" t="n">
        <x:f>IF(F19="USD",Settings!$B$7,1)</x:f>
        <x:v>1</x:v>
      </x:c>
      <x:c r="J19" s="34" t="e">
        <x:f>H19*I19</x:f>
      </x:c>
      <x:c r="K19" s="22"/>
      <x:c r="L19" s="22"/>
      <x:c r="M19" s="22"/>
    </x:row>
    <x:row r="20">
      <x:c r="B20" s="22"/>
      <x:c r="C20" s="22"/>
      <x:c r="D20" s="22"/>
      <x:c r="E20" s="22"/>
      <x:c r="F20" s="22"/>
      <x:c r="G20" s="24"/>
      <x:c r="H20" s="34" t="e">
        <x:f>G20+SUMIFS(Transactions!$L:$L,Transactions!$H:$H,A20,Transactions!$C:$C,"POSTED")-SUMIFS(Transactions!$L:$L,Transactions!$G:$G,A20,Transactions!$C:$C,"POSTED")</x:f>
      </x:c>
      <x:c r="I20" s="34" t="n">
        <x:f>IF(F20="USD",Settings!$B$7,1)</x:f>
        <x:v>1</x:v>
      </x:c>
      <x:c r="J20" s="34" t="e">
        <x:f>H20*I20</x:f>
      </x:c>
      <x:c r="K20" s="22"/>
      <x:c r="L20" s="22"/>
      <x:c r="M20" s="22"/>
    </x:row>
    <x:row r="21">
      <x:c r="B21" s="22"/>
      <x:c r="C21" s="22"/>
      <x:c r="D21" s="22"/>
      <x:c r="E21" s="22"/>
      <x:c r="F21" s="22"/>
      <x:c r="G21" s="24"/>
      <x:c r="H21" s="34" t="e">
        <x:f>G21+SUMIFS(Transactions!$L:$L,Transactions!$H:$H,A21,Transactions!$C:$C,"POSTED")-SUMIFS(Transactions!$L:$L,Transactions!$G:$G,A21,Transactions!$C:$C,"POSTED")</x:f>
      </x:c>
      <x:c r="I21" s="34" t="n">
        <x:f>IF(F21="USD",Settings!$B$7,1)</x:f>
        <x:v>1</x:v>
      </x:c>
      <x:c r="J21" s="34" t="e">
        <x:f>H21*I21</x:f>
      </x:c>
      <x:c r="K21" s="22"/>
      <x:c r="L21" s="22"/>
      <x:c r="M21" s="22"/>
    </x:row>
    <x:row r="22">
      <x:c r="B22" s="22"/>
      <x:c r="C22" s="22"/>
      <x:c r="D22" s="22"/>
      <x:c r="E22" s="22"/>
      <x:c r="F22" s="22"/>
      <x:c r="G22" s="24"/>
      <x:c r="H22" s="34" t="e">
        <x:f>G22+SUMIFS(Transactions!$L:$L,Transactions!$H:$H,A22,Transactions!$C:$C,"POSTED")-SUMIFS(Transactions!$L:$L,Transactions!$G:$G,A22,Transactions!$C:$C,"POSTED")</x:f>
      </x:c>
      <x:c r="I22" s="34" t="n">
        <x:f>IF(F22="USD",Settings!$B$7,1)</x:f>
        <x:v>1</x:v>
      </x:c>
      <x:c r="J22" s="34" t="e">
        <x:f>H22*I22</x:f>
      </x:c>
      <x:c r="K22" s="22"/>
      <x:c r="L22" s="22"/>
      <x:c r="M22" s="22"/>
    </x:row>
    <x:row r="23">
      <x:c r="B23" s="22"/>
      <x:c r="C23" s="22"/>
      <x:c r="D23" s="22"/>
      <x:c r="E23" s="22"/>
      <x:c r="F23" s="22"/>
      <x:c r="G23" s="24"/>
      <x:c r="H23" s="34" t="e">
        <x:f>G23+SUMIFS(Transactions!$L:$L,Transactions!$H:$H,A23,Transactions!$C:$C,"POSTED")-SUMIFS(Transactions!$L:$L,Transactions!$G:$G,A23,Transactions!$C:$C,"POSTED")</x:f>
      </x:c>
      <x:c r="I23" s="34" t="n">
        <x:f>IF(F23="USD",Settings!$B$7,1)</x:f>
        <x:v>1</x:v>
      </x:c>
      <x:c r="J23" s="34" t="e">
        <x:f>H23*I23</x:f>
      </x:c>
      <x:c r="K23" s="22"/>
      <x:c r="L23" s="22"/>
      <x:c r="M23" s="22"/>
    </x:row>
    <x:row r="24">
      <x:c r="B24" s="22"/>
      <x:c r="C24" s="22"/>
      <x:c r="D24" s="22"/>
      <x:c r="E24" s="22"/>
      <x:c r="F24" s="22"/>
      <x:c r="G24" s="24"/>
      <x:c r="H24" s="34" t="e">
        <x:f>G24+SUMIFS(Transactions!$L:$L,Transactions!$H:$H,A24,Transactions!$C:$C,"POSTED")-SUMIFS(Transactions!$L:$L,Transactions!$G:$G,A24,Transactions!$C:$C,"POSTED")</x:f>
      </x:c>
      <x:c r="I24" s="34" t="n">
        <x:f>IF(F24="USD",Settings!$B$7,1)</x:f>
        <x:v>1</x:v>
      </x:c>
      <x:c r="J24" s="34" t="e">
        <x:f>H24*I24</x:f>
      </x:c>
      <x:c r="K24" s="22"/>
      <x:c r="L24" s="22"/>
      <x:c r="M24" s="22"/>
    </x:row>
    <x:row r="25">
      <x:c r="B25" s="22"/>
      <x:c r="C25" s="22"/>
      <x:c r="D25" s="22"/>
      <x:c r="E25" s="22"/>
      <x:c r="F25" s="22"/>
      <x:c r="G25" s="24"/>
      <x:c r="H25" s="34" t="e">
        <x:f>G25+SUMIFS(Transactions!$L:$L,Transactions!$H:$H,A25,Transactions!$C:$C,"POSTED")-SUMIFS(Transactions!$L:$L,Transactions!$G:$G,A25,Transactions!$C:$C,"POSTED")</x:f>
      </x:c>
      <x:c r="I25" s="34" t="n">
        <x:f>IF(F25="USD",Settings!$B$7,1)</x:f>
        <x:v>1</x:v>
      </x:c>
      <x:c r="J25" s="34" t="e">
        <x:f>H25*I25</x:f>
      </x:c>
      <x:c r="K25" s="22"/>
      <x:c r="L25" s="22"/>
      <x:c r="M25" s="22"/>
    </x:row>
    <x:row r="26">
      <x:c r="B26" s="22"/>
      <x:c r="C26" s="22"/>
      <x:c r="D26" s="22"/>
      <x:c r="E26" s="22"/>
      <x:c r="F26" s="22"/>
      <x:c r="G26" s="24"/>
      <x:c r="H26" s="34" t="e">
        <x:f>G26+SUMIFS(Transactions!$L:$L,Transactions!$H:$H,A26,Transactions!$C:$C,"POSTED")-SUMIFS(Transactions!$L:$L,Transactions!$G:$G,A26,Transactions!$C:$C,"POSTED")</x:f>
      </x:c>
      <x:c r="I26" s="34" t="n">
        <x:f>IF(F26="USD",Settings!$B$7,1)</x:f>
        <x:v>1</x:v>
      </x:c>
      <x:c r="J26" s="34" t="e">
        <x:f>H26*I26</x:f>
      </x:c>
      <x:c r="K26" s="22"/>
      <x:c r="L26" s="22"/>
      <x:c r="M26" s="22"/>
    </x:row>
    <x:row r="27">
      <x:c r="B27" s="22"/>
      <x:c r="C27" s="22"/>
      <x:c r="D27" s="22"/>
      <x:c r="E27" s="22"/>
      <x:c r="F27" s="22"/>
      <x:c r="G27" s="24"/>
      <x:c r="H27" s="34" t="e">
        <x:f>G27+SUMIFS(Transactions!$L:$L,Transactions!$H:$H,A27,Transactions!$C:$C,"POSTED")-SUMIFS(Transactions!$L:$L,Transactions!$G:$G,A27,Transactions!$C:$C,"POSTED")</x:f>
      </x:c>
      <x:c r="I27" s="34" t="n">
        <x:f>IF(F27="USD",Settings!$B$7,1)</x:f>
        <x:v>1</x:v>
      </x:c>
      <x:c r="J27" s="34" t="e">
        <x:f>H27*I27</x:f>
      </x:c>
      <x:c r="K27" s="22"/>
      <x:c r="L27" s="22"/>
      <x:c r="M27" s="22"/>
    </x:row>
    <x:row r="28">
      <x:c r="B28" s="22"/>
      <x:c r="C28" s="22"/>
      <x:c r="D28" s="22"/>
      <x:c r="E28" s="22"/>
      <x:c r="F28" s="22"/>
      <x:c r="G28" s="24"/>
      <x:c r="H28" s="34" t="e">
        <x:f>G28+SUMIFS(Transactions!$L:$L,Transactions!$H:$H,A28,Transactions!$C:$C,"POSTED")-SUMIFS(Transactions!$L:$L,Transactions!$G:$G,A28,Transactions!$C:$C,"POSTED")</x:f>
      </x:c>
      <x:c r="I28" s="34" t="n">
        <x:f>IF(F28="USD",Settings!$B$7,1)</x:f>
        <x:v>1</x:v>
      </x:c>
      <x:c r="J28" s="34" t="e">
        <x:f>H28*I28</x:f>
      </x:c>
      <x:c r="K28" s="22"/>
      <x:c r="L28" s="22"/>
      <x:c r="M28" s="22"/>
    </x:row>
    <x:row r="29">
      <x:c r="B29" s="22"/>
      <x:c r="C29" s="22"/>
      <x:c r="D29" s="22"/>
      <x:c r="E29" s="22"/>
      <x:c r="F29" s="22"/>
      <x:c r="G29" s="24"/>
      <x:c r="H29" s="34" t="e">
        <x:f>G29+SUMIFS(Transactions!$L:$L,Transactions!$H:$H,A29,Transactions!$C:$C,"POSTED")-SUMIFS(Transactions!$L:$L,Transactions!$G:$G,A29,Transactions!$C:$C,"POSTED")</x:f>
      </x:c>
      <x:c r="I29" s="34" t="n">
        <x:f>IF(F29="USD",Settings!$B$7,1)</x:f>
        <x:v>1</x:v>
      </x:c>
      <x:c r="J29" s="34" t="e">
        <x:f>H29*I29</x:f>
      </x:c>
      <x:c r="K29" s="22"/>
      <x:c r="L29" s="22"/>
      <x:c r="M29" s="22"/>
    </x:row>
    <x:row r="30">
      <x:c r="B30" s="22"/>
      <x:c r="C30" s="22"/>
      <x:c r="D30" s="22"/>
      <x:c r="E30" s="22"/>
      <x:c r="F30" s="22"/>
      <x:c r="G30" s="24"/>
      <x:c r="H30" s="34" t="e">
        <x:f>G30+SUMIFS(Transactions!$L:$L,Transactions!$H:$H,A30,Transactions!$C:$C,"POSTED")-SUMIFS(Transactions!$L:$L,Transactions!$G:$G,A30,Transactions!$C:$C,"POSTED")</x:f>
      </x:c>
      <x:c r="I30" s="34" t="n">
        <x:f>IF(F30="USD",Settings!$B$7,1)</x:f>
        <x:v>1</x:v>
      </x:c>
      <x:c r="J30" s="34" t="e">
        <x:f>H30*I30</x:f>
      </x:c>
      <x:c r="K30" s="22"/>
      <x:c r="L30" s="22"/>
      <x:c r="M30" s="22"/>
    </x:row>
    <x:row r="31">
      <x:c r="B31" s="22"/>
      <x:c r="C31" s="22"/>
      <x:c r="D31" s="22"/>
      <x:c r="E31" s="22"/>
      <x:c r="F31" s="22"/>
      <x:c r="G31" s="24"/>
      <x:c r="H31" s="34" t="e">
        <x:f>G31+SUMIFS(Transactions!$L:$L,Transactions!$H:$H,A31,Transactions!$C:$C,"POSTED")-SUMIFS(Transactions!$L:$L,Transactions!$G:$G,A31,Transactions!$C:$C,"POSTED")</x:f>
      </x:c>
      <x:c r="I31" s="34" t="n">
        <x:f>IF(F31="USD",Settings!$B$7,1)</x:f>
        <x:v>1</x:v>
      </x:c>
      <x:c r="J31" s="34" t="e">
        <x:f>H31*I31</x:f>
      </x:c>
      <x:c r="K31" s="22"/>
      <x:c r="L31" s="22"/>
      <x:c r="M31" s="22"/>
    </x:row>
    <x:row r="32">
      <x:c r="B32" s="22"/>
      <x:c r="C32" s="22"/>
      <x:c r="D32" s="22"/>
      <x:c r="E32" s="22"/>
      <x:c r="F32" s="22"/>
      <x:c r="G32" s="24"/>
      <x:c r="H32" s="34" t="e">
        <x:f>G32+SUMIFS(Transactions!$L:$L,Transactions!$H:$H,A32,Transactions!$C:$C,"POSTED")-SUMIFS(Transactions!$L:$L,Transactions!$G:$G,A32,Transactions!$C:$C,"POSTED")</x:f>
      </x:c>
      <x:c r="I32" s="34" t="n">
        <x:f>IF(F32="USD",Settings!$B$7,1)</x:f>
        <x:v>1</x:v>
      </x:c>
      <x:c r="J32" s="34" t="e">
        <x:f>H32*I32</x:f>
      </x:c>
      <x:c r="K32" s="22"/>
      <x:c r="L32" s="22"/>
      <x:c r="M32" s="22"/>
    </x:row>
    <x:row r="33">
      <x:c r="B33" s="22"/>
      <x:c r="C33" s="22"/>
      <x:c r="D33" s="22"/>
      <x:c r="E33" s="22"/>
      <x:c r="F33" s="22"/>
      <x:c r="G33" s="24"/>
      <x:c r="H33" s="34" t="e">
        <x:f>G33+SUMIFS(Transactions!$L:$L,Transactions!$H:$H,A33,Transactions!$C:$C,"POSTED")-SUMIFS(Transactions!$L:$L,Transactions!$G:$G,A33,Transactions!$C:$C,"POSTED")</x:f>
      </x:c>
      <x:c r="I33" s="34" t="n">
        <x:f>IF(F33="USD",Settings!$B$7,1)</x:f>
        <x:v>1</x:v>
      </x:c>
      <x:c r="J33" s="34" t="e">
        <x:f>H33*I33</x:f>
      </x:c>
      <x:c r="K33" s="22"/>
      <x:c r="L33" s="22"/>
      <x:c r="M33" s="22"/>
    </x:row>
    <x:row r="34">
      <x:c r="B34" s="22"/>
      <x:c r="C34" s="22"/>
      <x:c r="D34" s="22"/>
      <x:c r="E34" s="22"/>
      <x:c r="F34" s="22"/>
      <x:c r="G34" s="24"/>
      <x:c r="H34" s="34" t="e">
        <x:f>G34+SUMIFS(Transactions!$L:$L,Transactions!$H:$H,A34,Transactions!$C:$C,"POSTED")-SUMIFS(Transactions!$L:$L,Transactions!$G:$G,A34,Transactions!$C:$C,"POSTED")</x:f>
      </x:c>
      <x:c r="I34" s="34" t="n">
        <x:f>IF(F34="USD",Settings!$B$7,1)</x:f>
        <x:v>1</x:v>
      </x:c>
      <x:c r="J34" s="34" t="e">
        <x:f>H34*I34</x:f>
      </x:c>
      <x:c r="K34" s="22"/>
      <x:c r="L34" s="22"/>
      <x:c r="M34" s="22"/>
    </x:row>
    <x:row r="35">
      <x:c r="B35" s="22"/>
      <x:c r="C35" s="22"/>
      <x:c r="D35" s="22"/>
      <x:c r="E35" s="22"/>
      <x:c r="F35" s="22"/>
      <x:c r="G35" s="24"/>
      <x:c r="H35" s="34" t="e">
        <x:f>G35+SUMIFS(Transactions!$L:$L,Transactions!$H:$H,A35,Transactions!$C:$C,"POSTED")-SUMIFS(Transactions!$L:$L,Transactions!$G:$G,A35,Transactions!$C:$C,"POSTED")</x:f>
      </x:c>
      <x:c r="I35" s="34" t="n">
        <x:f>IF(F35="USD",Settings!$B$7,1)</x:f>
        <x:v>1</x:v>
      </x:c>
      <x:c r="J35" s="34" t="e">
        <x:f>H35*I35</x:f>
      </x:c>
      <x:c r="K35" s="22"/>
      <x:c r="L35" s="22"/>
      <x:c r="M35" s="22"/>
    </x:row>
    <x:row r="36">
      <x:c r="B36" s="22"/>
      <x:c r="C36" s="22"/>
      <x:c r="D36" s="22"/>
      <x:c r="E36" s="22"/>
      <x:c r="F36" s="22"/>
      <x:c r="G36" s="24"/>
      <x:c r="H36" s="34" t="e">
        <x:f>G36+SUMIFS(Transactions!$L:$L,Transactions!$H:$H,A36,Transactions!$C:$C,"POSTED")-SUMIFS(Transactions!$L:$L,Transactions!$G:$G,A36,Transactions!$C:$C,"POSTED")</x:f>
      </x:c>
      <x:c r="I36" s="34" t="n">
        <x:f>IF(F36="USD",Settings!$B$7,1)</x:f>
        <x:v>1</x:v>
      </x:c>
      <x:c r="J36" s="34" t="e">
        <x:f>H36*I36</x:f>
      </x:c>
      <x:c r="K36" s="22"/>
      <x:c r="L36" s="22"/>
      <x:c r="M36" s="22"/>
    </x:row>
    <x:row r="37">
      <x:c r="B37" s="22"/>
      <x:c r="C37" s="22"/>
      <x:c r="D37" s="22"/>
      <x:c r="E37" s="22"/>
      <x:c r="F37" s="22"/>
      <x:c r="G37" s="24"/>
      <x:c r="H37" s="34" t="e">
        <x:f>G37+SUMIFS(Transactions!$L:$L,Transactions!$H:$H,A37,Transactions!$C:$C,"POSTED")-SUMIFS(Transactions!$L:$L,Transactions!$G:$G,A37,Transactions!$C:$C,"POSTED")</x:f>
      </x:c>
      <x:c r="I37" s="34" t="n">
        <x:f>IF(F37="USD",Settings!$B$7,1)</x:f>
        <x:v>1</x:v>
      </x:c>
      <x:c r="J37" s="34" t="e">
        <x:f>H37*I37</x:f>
      </x:c>
      <x:c r="K37" s="22"/>
      <x:c r="L37" s="22"/>
      <x:c r="M37" s="22"/>
    </x:row>
    <x:row r="38">
      <x:c r="B38" s="22"/>
      <x:c r="C38" s="22"/>
      <x:c r="D38" s="22"/>
      <x:c r="E38" s="22"/>
      <x:c r="F38" s="22"/>
      <x:c r="G38" s="24"/>
      <x:c r="H38" s="34" t="e">
        <x:f>G38+SUMIFS(Transactions!$L:$L,Transactions!$H:$H,A38,Transactions!$C:$C,"POSTED")-SUMIFS(Transactions!$L:$L,Transactions!$G:$G,A38,Transactions!$C:$C,"POSTED")</x:f>
      </x:c>
      <x:c r="I38" s="34" t="n">
        <x:f>IF(F38="USD",Settings!$B$7,1)</x:f>
        <x:v>1</x:v>
      </x:c>
      <x:c r="J38" s="34" t="e">
        <x:f>H38*I38</x:f>
      </x:c>
      <x:c r="K38" s="22"/>
      <x:c r="L38" s="22"/>
      <x:c r="M38" s="22"/>
    </x:row>
    <x:row r="39">
      <x:c r="B39" s="22"/>
      <x:c r="C39" s="22"/>
      <x:c r="D39" s="22"/>
      <x:c r="E39" s="22"/>
      <x:c r="F39" s="22"/>
      <x:c r="G39" s="24"/>
      <x:c r="H39" s="34" t="e">
        <x:f>G39+SUMIFS(Transactions!$L:$L,Transactions!$H:$H,A39,Transactions!$C:$C,"POSTED")-SUMIFS(Transactions!$L:$L,Transactions!$G:$G,A39,Transactions!$C:$C,"POSTED")</x:f>
      </x:c>
      <x:c r="I39" s="34" t="n">
        <x:f>IF(F39="USD",Settings!$B$7,1)</x:f>
        <x:v>1</x:v>
      </x:c>
      <x:c r="J39" s="34" t="e">
        <x:f>H39*I39</x:f>
      </x:c>
      <x:c r="K39" s="22"/>
      <x:c r="L39" s="22"/>
      <x:c r="M39" s="22"/>
    </x:row>
    <x:row r="40">
      <x:c r="B40" s="22"/>
      <x:c r="C40" s="22"/>
      <x:c r="D40" s="22"/>
      <x:c r="E40" s="22"/>
      <x:c r="F40" s="22"/>
      <x:c r="G40" s="24"/>
      <x:c r="H40" s="34" t="e">
        <x:f>G40+SUMIFS(Transactions!$L:$L,Transactions!$H:$H,A40,Transactions!$C:$C,"POSTED")-SUMIFS(Transactions!$L:$L,Transactions!$G:$G,A40,Transactions!$C:$C,"POSTED")</x:f>
      </x:c>
      <x:c r="I40" s="34" t="n">
        <x:f>IF(F40="USD",Settings!$B$7,1)</x:f>
        <x:v>1</x:v>
      </x:c>
      <x:c r="J40" s="34" t="e">
        <x:f>H40*I40</x:f>
      </x:c>
      <x:c r="K40" s="22"/>
      <x:c r="L40" s="22"/>
      <x:c r="M40" s="22"/>
    </x:row>
    <x:row r="41">
      <x:c r="B41" s="22"/>
      <x:c r="C41" s="22"/>
      <x:c r="D41" s="22"/>
      <x:c r="E41" s="22"/>
      <x:c r="F41" s="22"/>
      <x:c r="G41" s="24"/>
      <x:c r="H41" s="34" t="e">
        <x:f>G41+SUMIFS(Transactions!$L:$L,Transactions!$H:$H,A41,Transactions!$C:$C,"POSTED")-SUMIFS(Transactions!$L:$L,Transactions!$G:$G,A41,Transactions!$C:$C,"POSTED")</x:f>
      </x:c>
      <x:c r="I41" s="34" t="n">
        <x:f>IF(F41="USD",Settings!$B$7,1)</x:f>
        <x:v>1</x:v>
      </x:c>
      <x:c r="J41" s="34" t="e">
        <x:f>H41*I41</x:f>
      </x:c>
      <x:c r="K41" s="22"/>
      <x:c r="L41" s="22"/>
      <x:c r="M41" s="22"/>
    </x:row>
    <x:row r="42">
      <x:c r="B42" s="22"/>
      <x:c r="C42" s="22"/>
      <x:c r="D42" s="22"/>
      <x:c r="E42" s="22"/>
      <x:c r="F42" s="22"/>
      <x:c r="G42" s="24"/>
      <x:c r="H42" s="34" t="e">
        <x:f>G42+SUMIFS(Transactions!$L:$L,Transactions!$H:$H,A42,Transactions!$C:$C,"POSTED")-SUMIFS(Transactions!$L:$L,Transactions!$G:$G,A42,Transactions!$C:$C,"POSTED")</x:f>
      </x:c>
      <x:c r="I42" s="34" t="n">
        <x:f>IF(F42="USD",Settings!$B$7,1)</x:f>
        <x:v>1</x:v>
      </x:c>
      <x:c r="J42" s="34" t="e">
        <x:f>H42*I42</x:f>
      </x:c>
      <x:c r="K42" s="22"/>
      <x:c r="L42" s="22"/>
      <x:c r="M42" s="22"/>
    </x:row>
    <x:row r="43">
      <x:c r="B43" s="22"/>
      <x:c r="C43" s="22"/>
      <x:c r="D43" s="22"/>
      <x:c r="E43" s="22"/>
      <x:c r="F43" s="22"/>
      <x:c r="G43" s="24"/>
      <x:c r="H43" s="34" t="e">
        <x:f>G43+SUMIFS(Transactions!$L:$L,Transactions!$H:$H,A43,Transactions!$C:$C,"POSTED")-SUMIFS(Transactions!$L:$L,Transactions!$G:$G,A43,Transactions!$C:$C,"POSTED")</x:f>
      </x:c>
      <x:c r="I43" s="34" t="n">
        <x:f>IF(F43="USD",Settings!$B$7,1)</x:f>
        <x:v>1</x:v>
      </x:c>
      <x:c r="J43" s="34" t="e">
        <x:f>H43*I43</x:f>
      </x:c>
      <x:c r="K43" s="22"/>
      <x:c r="L43" s="22"/>
      <x:c r="M43" s="22"/>
    </x:row>
    <x:row r="44">
      <x:c r="B44" s="22"/>
      <x:c r="C44" s="22"/>
      <x:c r="D44" s="22"/>
      <x:c r="E44" s="22"/>
      <x:c r="F44" s="22"/>
      <x:c r="G44" s="24"/>
      <x:c r="H44" s="34" t="e">
        <x:f>G44+SUMIFS(Transactions!$L:$L,Transactions!$H:$H,A44,Transactions!$C:$C,"POSTED")-SUMIFS(Transactions!$L:$L,Transactions!$G:$G,A44,Transactions!$C:$C,"POSTED")</x:f>
      </x:c>
      <x:c r="I44" s="34" t="n">
        <x:f>IF(F44="USD",Settings!$B$7,1)</x:f>
        <x:v>1</x:v>
      </x:c>
      <x:c r="J44" s="34" t="e">
        <x:f>H44*I44</x:f>
      </x:c>
      <x:c r="K44" s="22"/>
      <x:c r="L44" s="22"/>
      <x:c r="M44" s="22"/>
    </x:row>
    <x:row r="45">
      <x:c r="B45" s="22"/>
      <x:c r="C45" s="22"/>
      <x:c r="D45" s="22"/>
      <x:c r="E45" s="22"/>
      <x:c r="F45" s="22"/>
      <x:c r="G45" s="24"/>
      <x:c r="H45" s="34" t="e">
        <x:f>G45+SUMIFS(Transactions!$L:$L,Transactions!$H:$H,A45,Transactions!$C:$C,"POSTED")-SUMIFS(Transactions!$L:$L,Transactions!$G:$G,A45,Transactions!$C:$C,"POSTED")</x:f>
      </x:c>
      <x:c r="I45" s="34" t="n">
        <x:f>IF(F45="USD",Settings!$B$7,1)</x:f>
        <x:v>1</x:v>
      </x:c>
      <x:c r="J45" s="34" t="e">
        <x:f>H45*I45</x:f>
      </x:c>
      <x:c r="K45" s="22"/>
      <x:c r="L45" s="22"/>
      <x:c r="M45" s="22"/>
    </x:row>
    <x:row r="46">
      <x:c r="B46" s="22"/>
      <x:c r="C46" s="22"/>
      <x:c r="D46" s="22"/>
      <x:c r="E46" s="22"/>
      <x:c r="F46" s="22"/>
      <x:c r="G46" s="24"/>
      <x:c r="H46" s="34" t="e">
        <x:f>G46+SUMIFS(Transactions!$L:$L,Transactions!$H:$H,A46,Transactions!$C:$C,"POSTED")-SUMIFS(Transactions!$L:$L,Transactions!$G:$G,A46,Transactions!$C:$C,"POSTED")</x:f>
      </x:c>
      <x:c r="I46" s="34" t="n">
        <x:f>IF(F46="USD",Settings!$B$7,1)</x:f>
        <x:v>1</x:v>
      </x:c>
      <x:c r="J46" s="34" t="e">
        <x:f>H46*I46</x:f>
      </x:c>
      <x:c r="K46" s="22"/>
      <x:c r="L46" s="22"/>
      <x:c r="M46" s="22"/>
    </x:row>
    <x:row r="47">
      <x:c r="B47" s="22"/>
      <x:c r="C47" s="22"/>
      <x:c r="D47" s="22"/>
      <x:c r="E47" s="22"/>
      <x:c r="F47" s="22"/>
      <x:c r="G47" s="24"/>
      <x:c r="H47" s="34" t="e">
        <x:f>G47+SUMIFS(Transactions!$L:$L,Transactions!$H:$H,A47,Transactions!$C:$C,"POSTED")-SUMIFS(Transactions!$L:$L,Transactions!$G:$G,A47,Transactions!$C:$C,"POSTED")</x:f>
      </x:c>
      <x:c r="I47" s="34" t="n">
        <x:f>IF(F47="USD",Settings!$B$7,1)</x:f>
        <x:v>1</x:v>
      </x:c>
      <x:c r="J47" s="34" t="e">
        <x:f>H47*I47</x:f>
      </x:c>
      <x:c r="K47" s="22"/>
      <x:c r="L47" s="22"/>
      <x:c r="M47" s="22"/>
    </x:row>
    <x:row r="48">
      <x:c r="B48" s="22"/>
      <x:c r="C48" s="22"/>
      <x:c r="D48" s="22"/>
      <x:c r="E48" s="22"/>
      <x:c r="F48" s="22"/>
      <x:c r="G48" s="24"/>
      <x:c r="H48" s="34" t="e">
        <x:f>G48+SUMIFS(Transactions!$L:$L,Transactions!$H:$H,A48,Transactions!$C:$C,"POSTED")-SUMIFS(Transactions!$L:$L,Transactions!$G:$G,A48,Transactions!$C:$C,"POSTED")</x:f>
      </x:c>
      <x:c r="I48" s="34" t="n">
        <x:f>IF(F48="USD",Settings!$B$7,1)</x:f>
        <x:v>1</x:v>
      </x:c>
      <x:c r="J48" s="34" t="e">
        <x:f>H48*I48</x:f>
      </x:c>
      <x:c r="K48" s="22"/>
      <x:c r="L48" s="22"/>
      <x:c r="M48" s="22"/>
    </x:row>
    <x:row r="49">
      <x:c r="B49" s="22"/>
      <x:c r="C49" s="22"/>
      <x:c r="D49" s="22"/>
      <x:c r="E49" s="22"/>
      <x:c r="F49" s="22"/>
      <x:c r="G49" s="24"/>
      <x:c r="H49" s="34" t="e">
        <x:f>G49+SUMIFS(Transactions!$L:$L,Transactions!$H:$H,A49,Transactions!$C:$C,"POSTED")-SUMIFS(Transactions!$L:$L,Transactions!$G:$G,A49,Transactions!$C:$C,"POSTED")</x:f>
      </x:c>
      <x:c r="I49" s="34" t="n">
        <x:f>IF(F49="USD",Settings!$B$7,1)</x:f>
        <x:v>1</x:v>
      </x:c>
      <x:c r="J49" s="34" t="e">
        <x:f>H49*I49</x:f>
      </x:c>
      <x:c r="K49" s="22"/>
      <x:c r="L49" s="22"/>
      <x:c r="M49" s="22"/>
    </x:row>
    <x:row r="50">
      <x:c r="B50" s="22"/>
      <x:c r="C50" s="22"/>
      <x:c r="D50" s="22"/>
      <x:c r="E50" s="22"/>
      <x:c r="F50" s="22"/>
      <x:c r="G50" s="24"/>
      <x:c r="H50" s="34" t="e">
        <x:f>G50+SUMIFS(Transactions!$L:$L,Transactions!$H:$H,A50,Transactions!$C:$C,"POSTED")-SUMIFS(Transactions!$L:$L,Transactions!$G:$G,A50,Transactions!$C:$C,"POSTED")</x:f>
      </x:c>
      <x:c r="I50" s="34" t="n">
        <x:f>IF(F50="USD",Settings!$B$7,1)</x:f>
        <x:v>1</x:v>
      </x:c>
      <x:c r="J50" s="34" t="e">
        <x:f>H50*I50</x:f>
      </x:c>
      <x:c r="K50" s="22"/>
      <x:c r="L50" s="22"/>
      <x:c r="M50" s="22"/>
    </x:row>
    <x:row r="51">
      <x:c r="B51" s="22"/>
      <x:c r="C51" s="22"/>
      <x:c r="D51" s="22"/>
      <x:c r="E51" s="22"/>
      <x:c r="F51" s="22"/>
      <x:c r="G51" s="24"/>
      <x:c r="H51" s="34" t="e">
        <x:f>G51+SUMIFS(Transactions!$L:$L,Transactions!$H:$H,A51,Transactions!$C:$C,"POSTED")-SUMIFS(Transactions!$L:$L,Transactions!$G:$G,A51,Transactions!$C:$C,"POSTED")</x:f>
      </x:c>
      <x:c r="I51" s="34" t="n">
        <x:f>IF(F51="USD",Settings!$B$7,1)</x:f>
        <x:v>1</x:v>
      </x:c>
      <x:c r="J51" s="34" t="e">
        <x:f>H51*I51</x:f>
      </x:c>
      <x:c r="K51" s="22"/>
      <x:c r="L51" s="22"/>
      <x:c r="M51" s="22"/>
    </x:row>
    <x:row r="52">
      <x:c r="B52" s="22"/>
      <x:c r="C52" s="22"/>
      <x:c r="D52" s="22"/>
      <x:c r="E52" s="22"/>
      <x:c r="F52" s="22"/>
      <x:c r="G52" s="24"/>
      <x:c r="H52" s="34" t="e">
        <x:f>G52+SUMIFS(Transactions!$L:$L,Transactions!$H:$H,A52,Transactions!$C:$C,"POSTED")-SUMIFS(Transactions!$L:$L,Transactions!$G:$G,A52,Transactions!$C:$C,"POSTED")</x:f>
      </x:c>
      <x:c r="I52" s="34" t="n">
        <x:f>IF(F52="USD",Settings!$B$7,1)</x:f>
        <x:v>1</x:v>
      </x:c>
      <x:c r="J52" s="34" t="e">
        <x:f>H52*I52</x:f>
      </x:c>
      <x:c r="K52" s="22"/>
      <x:c r="L52" s="22"/>
      <x:c r="M52" s="22"/>
    </x:row>
    <x:row r="53">
      <x:c r="B53" s="22"/>
      <x:c r="C53" s="22"/>
      <x:c r="D53" s="22"/>
      <x:c r="E53" s="22"/>
      <x:c r="F53" s="22"/>
      <x:c r="G53" s="24"/>
      <x:c r="H53" s="34" t="e">
        <x:f>G53+SUMIFS(Transactions!$L:$L,Transactions!$H:$H,A53,Transactions!$C:$C,"POSTED")-SUMIFS(Transactions!$L:$L,Transactions!$G:$G,A53,Transactions!$C:$C,"POSTED")</x:f>
      </x:c>
      <x:c r="I53" s="34" t="n">
        <x:f>IF(F53="USD",Settings!$B$7,1)</x:f>
        <x:v>1</x:v>
      </x:c>
      <x:c r="J53" s="34" t="e">
        <x:f>H53*I53</x:f>
      </x:c>
      <x:c r="K53" s="22"/>
      <x:c r="L53" s="22"/>
      <x:c r="M53" s="22"/>
    </x:row>
    <x:row r="54">
      <x:c r="B54" s="22"/>
      <x:c r="C54" s="22"/>
      <x:c r="D54" s="22"/>
      <x:c r="E54" s="22"/>
      <x:c r="F54" s="22"/>
      <x:c r="G54" s="24"/>
      <x:c r="H54" s="34" t="e">
        <x:f>G54+SUMIFS(Transactions!$L:$L,Transactions!$H:$H,A54,Transactions!$C:$C,"POSTED")-SUMIFS(Transactions!$L:$L,Transactions!$G:$G,A54,Transactions!$C:$C,"POSTED")</x:f>
      </x:c>
      <x:c r="I54" s="34" t="n">
        <x:f>IF(F54="USD",Settings!$B$7,1)</x:f>
        <x:v>1</x:v>
      </x:c>
      <x:c r="J54" s="34" t="e">
        <x:f>H54*I54</x:f>
      </x:c>
      <x:c r="K54" s="22"/>
      <x:c r="L54" s="22"/>
      <x:c r="M54" s="22"/>
    </x:row>
    <x:row r="55">
      <x:c r="B55" s="22"/>
      <x:c r="C55" s="22"/>
      <x:c r="D55" s="22"/>
      <x:c r="E55" s="22"/>
      <x:c r="F55" s="22"/>
      <x:c r="G55" s="24"/>
      <x:c r="H55" s="34" t="e">
        <x:f>G55+SUMIFS(Transactions!$L:$L,Transactions!$H:$H,A55,Transactions!$C:$C,"POSTED")-SUMIFS(Transactions!$L:$L,Transactions!$G:$G,A55,Transactions!$C:$C,"POSTED")</x:f>
      </x:c>
      <x:c r="I55" s="34" t="n">
        <x:f>IF(F55="USD",Settings!$B$7,1)</x:f>
        <x:v>1</x:v>
      </x:c>
      <x:c r="J55" s="34" t="e">
        <x:f>H55*I55</x:f>
      </x:c>
      <x:c r="K55" s="22"/>
      <x:c r="L55" s="22"/>
      <x:c r="M55" s="22"/>
    </x:row>
    <x:row r="56">
      <x:c r="B56" s="22"/>
      <x:c r="C56" s="22"/>
      <x:c r="D56" s="22"/>
      <x:c r="E56" s="22"/>
      <x:c r="F56" s="22"/>
      <x:c r="G56" s="24"/>
      <x:c r="H56" s="34" t="e">
        <x:f>G56+SUMIFS(Transactions!$L:$L,Transactions!$H:$H,A56,Transactions!$C:$C,"POSTED")-SUMIFS(Transactions!$L:$L,Transactions!$G:$G,A56,Transactions!$C:$C,"POSTED")</x:f>
      </x:c>
      <x:c r="I56" s="34" t="n">
        <x:f>IF(F56="USD",Settings!$B$7,1)</x:f>
        <x:v>1</x:v>
      </x:c>
      <x:c r="J56" s="34" t="e">
        <x:f>H56*I56</x:f>
      </x:c>
      <x:c r="K56" s="22"/>
      <x:c r="L56" s="22"/>
      <x:c r="M56" s="22"/>
    </x:row>
    <x:row r="57">
      <x:c r="B57" s="22"/>
      <x:c r="C57" s="22"/>
      <x:c r="D57" s="22"/>
      <x:c r="E57" s="22"/>
      <x:c r="F57" s="22"/>
      <x:c r="G57" s="24"/>
      <x:c r="H57" s="34" t="e">
        <x:f>G57+SUMIFS(Transactions!$L:$L,Transactions!$H:$H,A57,Transactions!$C:$C,"POSTED")-SUMIFS(Transactions!$L:$L,Transactions!$G:$G,A57,Transactions!$C:$C,"POSTED")</x:f>
      </x:c>
      <x:c r="I57" s="34" t="n">
        <x:f>IF(F57="USD",Settings!$B$7,1)</x:f>
        <x:v>1</x:v>
      </x:c>
      <x:c r="J57" s="34" t="e">
        <x:f>H57*I57</x:f>
      </x:c>
      <x:c r="K57" s="22"/>
      <x:c r="L57" s="22"/>
      <x:c r="M57" s="22"/>
    </x:row>
    <x:row r="58">
      <x:c r="B58" s="22"/>
      <x:c r="C58" s="22"/>
      <x:c r="D58" s="22"/>
      <x:c r="E58" s="22"/>
      <x:c r="F58" s="22"/>
      <x:c r="G58" s="24"/>
      <x:c r="H58" s="34" t="e">
        <x:f>G58+SUMIFS(Transactions!$L:$L,Transactions!$H:$H,A58,Transactions!$C:$C,"POSTED")-SUMIFS(Transactions!$L:$L,Transactions!$G:$G,A58,Transactions!$C:$C,"POSTED")</x:f>
      </x:c>
      <x:c r="I58" s="34" t="n">
        <x:f>IF(F58="USD",Settings!$B$7,1)</x:f>
        <x:v>1</x:v>
      </x:c>
      <x:c r="J58" s="34" t="e">
        <x:f>H58*I58</x:f>
      </x:c>
      <x:c r="K58" s="22"/>
      <x:c r="L58" s="22"/>
      <x:c r="M58" s="22"/>
    </x:row>
    <x:row r="59">
      <x:c r="B59" s="22"/>
      <x:c r="C59" s="22"/>
      <x:c r="D59" s="22"/>
      <x:c r="E59" s="22"/>
      <x:c r="F59" s="22"/>
      <x:c r="G59" s="24"/>
      <x:c r="H59" s="34" t="e">
        <x:f>G59+SUMIFS(Transactions!$L:$L,Transactions!$H:$H,A59,Transactions!$C:$C,"POSTED")-SUMIFS(Transactions!$L:$L,Transactions!$G:$G,A59,Transactions!$C:$C,"POSTED")</x:f>
      </x:c>
      <x:c r="I59" s="34" t="n">
        <x:f>IF(F59="USD",Settings!$B$7,1)</x:f>
        <x:v>1</x:v>
      </x:c>
      <x:c r="J59" s="34" t="e">
        <x:f>H59*I59</x:f>
      </x:c>
      <x:c r="K59" s="22"/>
      <x:c r="L59" s="22"/>
      <x:c r="M59" s="22"/>
    </x:row>
    <x:row r="60">
      <x:c r="B60" s="22"/>
      <x:c r="C60" s="22"/>
      <x:c r="D60" s="22"/>
      <x:c r="E60" s="22"/>
      <x:c r="F60" s="22"/>
      <x:c r="G60" s="24"/>
      <x:c r="H60" s="34" t="e">
        <x:f>G60+SUMIFS(Transactions!$L:$L,Transactions!$H:$H,A60,Transactions!$C:$C,"POSTED")-SUMIFS(Transactions!$L:$L,Transactions!$G:$G,A60,Transactions!$C:$C,"POSTED")</x:f>
      </x:c>
      <x:c r="I60" s="34" t="n">
        <x:f>IF(F60="USD",Settings!$B$7,1)</x:f>
        <x:v>1</x:v>
      </x:c>
      <x:c r="J60" s="34" t="e">
        <x:f>H60*I60</x:f>
      </x:c>
      <x:c r="K60" s="22"/>
      <x:c r="L60" s="22"/>
      <x:c r="M60" s="22"/>
    </x:row>
    <x:row r="61">
      <x:c r="B61" s="22"/>
      <x:c r="C61" s="22"/>
      <x:c r="D61" s="22"/>
      <x:c r="E61" s="22"/>
      <x:c r="F61" s="22"/>
      <x:c r="G61" s="24"/>
      <x:c r="H61" s="34" t="e">
        <x:f>G61+SUMIFS(Transactions!$L:$L,Transactions!$H:$H,A61,Transactions!$C:$C,"POSTED")-SUMIFS(Transactions!$L:$L,Transactions!$G:$G,A61,Transactions!$C:$C,"POSTED")</x:f>
      </x:c>
      <x:c r="I61" s="34" t="n">
        <x:f>IF(F61="USD",Settings!$B$7,1)</x:f>
        <x:v>1</x:v>
      </x:c>
      <x:c r="J61" s="34" t="e">
        <x:f>H61*I61</x:f>
      </x:c>
      <x:c r="K61" s="22"/>
      <x:c r="L61" s="22"/>
      <x:c r="M61" s="22"/>
    </x:row>
    <x:row r="62">
      <x:c r="B62" s="22"/>
      <x:c r="C62" s="22"/>
      <x:c r="D62" s="22"/>
      <x:c r="E62" s="22"/>
      <x:c r="F62" s="22"/>
      <x:c r="G62" s="24"/>
      <x:c r="H62" s="34" t="e">
        <x:f>G62+SUMIFS(Transactions!$L:$L,Transactions!$H:$H,A62,Transactions!$C:$C,"POSTED")-SUMIFS(Transactions!$L:$L,Transactions!$G:$G,A62,Transactions!$C:$C,"POSTED")</x:f>
      </x:c>
      <x:c r="I62" s="34" t="n">
        <x:f>IF(F62="USD",Settings!$B$7,1)</x:f>
        <x:v>1</x:v>
      </x:c>
      <x:c r="J62" s="34" t="e">
        <x:f>H62*I62</x:f>
      </x:c>
      <x:c r="K62" s="22"/>
      <x:c r="L62" s="22"/>
      <x:c r="M62" s="22"/>
    </x:row>
    <x:row r="63">
      <x:c r="B63" s="22"/>
      <x:c r="C63" s="22"/>
      <x:c r="D63" s="22"/>
      <x:c r="E63" s="22"/>
      <x:c r="F63" s="22"/>
      <x:c r="G63" s="24"/>
      <x:c r="H63" s="34" t="e">
        <x:f>G63+SUMIFS(Transactions!$L:$L,Transactions!$H:$H,A63,Transactions!$C:$C,"POSTED")-SUMIFS(Transactions!$L:$L,Transactions!$G:$G,A63,Transactions!$C:$C,"POSTED")</x:f>
      </x:c>
      <x:c r="I63" s="34" t="n">
        <x:f>IF(F63="USD",Settings!$B$7,1)</x:f>
        <x:v>1</x:v>
      </x:c>
      <x:c r="J63" s="34" t="e">
        <x:f>H63*I63</x:f>
      </x:c>
      <x:c r="K63" s="22"/>
      <x:c r="L63" s="22"/>
      <x:c r="M63" s="22"/>
    </x:row>
    <x:row r="64">
      <x:c r="B64" s="22"/>
      <x:c r="C64" s="22"/>
      <x:c r="D64" s="22"/>
      <x:c r="E64" s="22"/>
      <x:c r="F64" s="22"/>
      <x:c r="G64" s="24"/>
      <x:c r="H64" s="34" t="e">
        <x:f>G64+SUMIFS(Transactions!$L:$L,Transactions!$H:$H,A64,Transactions!$C:$C,"POSTED")-SUMIFS(Transactions!$L:$L,Transactions!$G:$G,A64,Transactions!$C:$C,"POSTED")</x:f>
      </x:c>
      <x:c r="I64" s="34" t="n">
        <x:f>IF(F64="USD",Settings!$B$7,1)</x:f>
        <x:v>1</x:v>
      </x:c>
      <x:c r="J64" s="34" t="e">
        <x:f>H64*I64</x:f>
      </x:c>
      <x:c r="K64" s="22"/>
      <x:c r="L64" s="22"/>
      <x:c r="M64" s="22"/>
    </x:row>
    <x:row r="65">
      <x:c r="B65" s="22"/>
      <x:c r="C65" s="22"/>
      <x:c r="D65" s="22"/>
      <x:c r="E65" s="22"/>
      <x:c r="F65" s="22"/>
      <x:c r="G65" s="24"/>
      <x:c r="H65" s="34" t="e">
        <x:f>G65+SUMIFS(Transactions!$L:$L,Transactions!$H:$H,A65,Transactions!$C:$C,"POSTED")-SUMIFS(Transactions!$L:$L,Transactions!$G:$G,A65,Transactions!$C:$C,"POSTED")</x:f>
      </x:c>
      <x:c r="I65" s="34" t="n">
        <x:f>IF(F65="USD",Settings!$B$7,1)</x:f>
        <x:v>1</x:v>
      </x:c>
      <x:c r="J65" s="34" t="e">
        <x:f>H65*I65</x:f>
      </x:c>
      <x:c r="K65" s="22"/>
      <x:c r="L65" s="22"/>
      <x:c r="M65" s="22"/>
    </x:row>
    <x:row r="66">
      <x:c r="B66" s="22"/>
      <x:c r="C66" s="22"/>
      <x:c r="D66" s="22"/>
      <x:c r="E66" s="22"/>
      <x:c r="F66" s="22"/>
      <x:c r="G66" s="24"/>
      <x:c r="H66" s="34" t="e">
        <x:f>G66+SUMIFS(Transactions!$L:$L,Transactions!$H:$H,A66,Transactions!$C:$C,"POSTED")-SUMIFS(Transactions!$L:$L,Transactions!$G:$G,A66,Transactions!$C:$C,"POSTED")</x:f>
      </x:c>
      <x:c r="I66" s="34" t="n">
        <x:f>IF(F66="USD",Settings!$B$7,1)</x:f>
        <x:v>1</x:v>
      </x:c>
      <x:c r="J66" s="34" t="e">
        <x:f>H66*I66</x:f>
      </x:c>
      <x:c r="K66" s="22"/>
      <x:c r="L66" s="22"/>
      <x:c r="M66" s="22"/>
    </x:row>
    <x:row r="67">
      <x:c r="B67" s="22"/>
      <x:c r="C67" s="22"/>
      <x:c r="D67" s="22"/>
      <x:c r="E67" s="22"/>
      <x:c r="F67" s="22"/>
      <x:c r="G67" s="24"/>
      <x:c r="H67" s="34" t="e">
        <x:f>G67+SUMIFS(Transactions!$L:$L,Transactions!$H:$H,A67,Transactions!$C:$C,"POSTED")-SUMIFS(Transactions!$L:$L,Transactions!$G:$G,A67,Transactions!$C:$C,"POSTED")</x:f>
      </x:c>
      <x:c r="I67" s="34" t="n">
        <x:f>IF(F67="USD",Settings!$B$7,1)</x:f>
        <x:v>1</x:v>
      </x:c>
      <x:c r="J67" s="34" t="e">
        <x:f>H67*I67</x:f>
      </x:c>
      <x:c r="K67" s="22"/>
      <x:c r="L67" s="22"/>
      <x:c r="M67" s="22"/>
    </x:row>
    <x:row r="68">
      <x:c r="B68" s="22"/>
      <x:c r="C68" s="22"/>
      <x:c r="D68" s="22"/>
      <x:c r="E68" s="22"/>
      <x:c r="F68" s="22"/>
      <x:c r="G68" s="24"/>
      <x:c r="H68" s="34" t="e">
        <x:f>G68+SUMIFS(Transactions!$L:$L,Transactions!$H:$H,A68,Transactions!$C:$C,"POSTED")-SUMIFS(Transactions!$L:$L,Transactions!$G:$G,A68,Transactions!$C:$C,"POSTED")</x:f>
      </x:c>
      <x:c r="I68" s="34" t="n">
        <x:f>IF(F68="USD",Settings!$B$7,1)</x:f>
        <x:v>1</x:v>
      </x:c>
      <x:c r="J68" s="34" t="e">
        <x:f>H68*I68</x:f>
      </x:c>
      <x:c r="K68" s="22"/>
      <x:c r="L68" s="22"/>
      <x:c r="M68" s="22"/>
    </x:row>
    <x:row r="69">
      <x:c r="B69" s="22"/>
      <x:c r="C69" s="22"/>
      <x:c r="D69" s="22"/>
      <x:c r="E69" s="22"/>
      <x:c r="F69" s="22"/>
      <x:c r="G69" s="24"/>
      <x:c r="H69" s="34" t="e">
        <x:f>G69+SUMIFS(Transactions!$L:$L,Transactions!$H:$H,A69,Transactions!$C:$C,"POSTED")-SUMIFS(Transactions!$L:$L,Transactions!$G:$G,A69,Transactions!$C:$C,"POSTED")</x:f>
      </x:c>
      <x:c r="I69" s="34" t="n">
        <x:f>IF(F69="USD",Settings!$B$7,1)</x:f>
        <x:v>1</x:v>
      </x:c>
      <x:c r="J69" s="34" t="e">
        <x:f>H69*I69</x:f>
      </x:c>
      <x:c r="K69" s="22"/>
      <x:c r="L69" s="22"/>
      <x:c r="M69" s="22"/>
    </x:row>
    <x:row r="70">
      <x:c r="B70" s="22"/>
      <x:c r="C70" s="22"/>
      <x:c r="D70" s="22"/>
      <x:c r="E70" s="22"/>
      <x:c r="F70" s="22"/>
      <x:c r="G70" s="24"/>
      <x:c r="H70" s="34" t="e">
        <x:f>G70+SUMIFS(Transactions!$L:$L,Transactions!$H:$H,A70,Transactions!$C:$C,"POSTED")-SUMIFS(Transactions!$L:$L,Transactions!$G:$G,A70,Transactions!$C:$C,"POSTED")</x:f>
      </x:c>
      <x:c r="I70" s="34" t="n">
        <x:f>IF(F70="USD",Settings!$B$7,1)</x:f>
        <x:v>1</x:v>
      </x:c>
      <x:c r="J70" s="34" t="e">
        <x:f>H70*I70</x:f>
      </x:c>
      <x:c r="K70" s="22"/>
      <x:c r="L70" s="22"/>
      <x:c r="M70" s="22"/>
    </x:row>
    <x:row r="71">
      <x:c r="B71" s="22"/>
      <x:c r="C71" s="22"/>
      <x:c r="D71" s="22"/>
      <x:c r="E71" s="22"/>
      <x:c r="F71" s="22"/>
      <x:c r="G71" s="24"/>
      <x:c r="H71" s="34" t="e">
        <x:f>G71+SUMIFS(Transactions!$L:$L,Transactions!$H:$H,A71,Transactions!$C:$C,"POSTED")-SUMIFS(Transactions!$L:$L,Transactions!$G:$G,A71,Transactions!$C:$C,"POSTED")</x:f>
      </x:c>
      <x:c r="I71" s="34" t="n">
        <x:f>IF(F71="USD",Settings!$B$7,1)</x:f>
        <x:v>1</x:v>
      </x:c>
      <x:c r="J71" s="34" t="e">
        <x:f>H71*I71</x:f>
      </x:c>
      <x:c r="K71" s="22"/>
      <x:c r="L71" s="22"/>
      <x:c r="M71" s="22"/>
    </x:row>
    <x:row r="72">
      <x:c r="B72" s="22"/>
      <x:c r="C72" s="22"/>
      <x:c r="D72" s="22"/>
      <x:c r="E72" s="22"/>
      <x:c r="F72" s="22"/>
      <x:c r="G72" s="24"/>
      <x:c r="H72" s="34" t="e">
        <x:f>G72+SUMIFS(Transactions!$L:$L,Transactions!$H:$H,A72,Transactions!$C:$C,"POSTED")-SUMIFS(Transactions!$L:$L,Transactions!$G:$G,A72,Transactions!$C:$C,"POSTED")</x:f>
      </x:c>
      <x:c r="I72" s="34" t="n">
        <x:f>IF(F72="USD",Settings!$B$7,1)</x:f>
        <x:v>1</x:v>
      </x:c>
      <x:c r="J72" s="34" t="e">
        <x:f>H72*I72</x:f>
      </x:c>
      <x:c r="K72" s="22"/>
      <x:c r="L72" s="22"/>
      <x:c r="M72" s="22"/>
    </x:row>
    <x:row r="73">
      <x:c r="B73" s="22"/>
      <x:c r="C73" s="22"/>
      <x:c r="D73" s="22"/>
      <x:c r="E73" s="22"/>
      <x:c r="F73" s="22"/>
      <x:c r="G73" s="24"/>
      <x:c r="H73" s="34" t="e">
        <x:f>G73+SUMIFS(Transactions!$L:$L,Transactions!$H:$H,A73,Transactions!$C:$C,"POSTED")-SUMIFS(Transactions!$L:$L,Transactions!$G:$G,A73,Transactions!$C:$C,"POSTED")</x:f>
      </x:c>
      <x:c r="I73" s="34" t="n">
        <x:f>IF(F73="USD",Settings!$B$7,1)</x:f>
        <x:v>1</x:v>
      </x:c>
      <x:c r="J73" s="34" t="e">
        <x:f>H73*I73</x:f>
      </x:c>
      <x:c r="K73" s="22"/>
      <x:c r="L73" s="22"/>
      <x:c r="M73" s="22"/>
    </x:row>
    <x:row r="74">
      <x:c r="B74" s="22"/>
      <x:c r="C74" s="22"/>
      <x:c r="D74" s="22"/>
      <x:c r="E74" s="22"/>
      <x:c r="F74" s="22"/>
      <x:c r="G74" s="24"/>
      <x:c r="H74" s="34" t="e">
        <x:f>G74+SUMIFS(Transactions!$L:$L,Transactions!$H:$H,A74,Transactions!$C:$C,"POSTED")-SUMIFS(Transactions!$L:$L,Transactions!$G:$G,A74,Transactions!$C:$C,"POSTED")</x:f>
      </x:c>
      <x:c r="I74" s="34" t="n">
        <x:f>IF(F74="USD",Settings!$B$7,1)</x:f>
        <x:v>1</x:v>
      </x:c>
      <x:c r="J74" s="34" t="e">
        <x:f>H74*I74</x:f>
      </x:c>
      <x:c r="K74" s="22"/>
      <x:c r="L74" s="22"/>
      <x:c r="M74" s="22"/>
    </x:row>
    <x:row r="75">
      <x:c r="B75" s="22"/>
      <x:c r="C75" s="22"/>
      <x:c r="D75" s="22"/>
      <x:c r="E75" s="22"/>
      <x:c r="F75" s="22"/>
      <x:c r="G75" s="24"/>
      <x:c r="H75" s="34" t="e">
        <x:f>G75+SUMIFS(Transactions!$L:$L,Transactions!$H:$H,A75,Transactions!$C:$C,"POSTED")-SUMIFS(Transactions!$L:$L,Transactions!$G:$G,A75,Transactions!$C:$C,"POSTED")</x:f>
      </x:c>
      <x:c r="I75" s="34" t="n">
        <x:f>IF(F75="USD",Settings!$B$7,1)</x:f>
        <x:v>1</x:v>
      </x:c>
      <x:c r="J75" s="34" t="e">
        <x:f>H75*I75</x:f>
      </x:c>
      <x:c r="K75" s="22"/>
      <x:c r="L75" s="22"/>
      <x:c r="M75" s="22"/>
    </x:row>
    <x:row r="76">
      <x:c r="B76" s="22"/>
      <x:c r="C76" s="22"/>
      <x:c r="D76" s="22"/>
      <x:c r="E76" s="22"/>
      <x:c r="F76" s="22"/>
      <x:c r="G76" s="24"/>
      <x:c r="H76" s="34" t="e">
        <x:f>G76+SUMIFS(Transactions!$L:$L,Transactions!$H:$H,A76,Transactions!$C:$C,"POSTED")-SUMIFS(Transactions!$L:$L,Transactions!$G:$G,A76,Transactions!$C:$C,"POSTED")</x:f>
      </x:c>
      <x:c r="I76" s="34" t="n">
        <x:f>IF(F76="USD",Settings!$B$7,1)</x:f>
        <x:v>1</x:v>
      </x:c>
      <x:c r="J76" s="34" t="e">
        <x:f>H76*I76</x:f>
      </x:c>
      <x:c r="K76" s="22"/>
      <x:c r="L76" s="22"/>
      <x:c r="M76" s="22"/>
    </x:row>
    <x:row r="77">
      <x:c r="B77" s="22"/>
      <x:c r="C77" s="22"/>
      <x:c r="D77" s="22"/>
      <x:c r="E77" s="22"/>
      <x:c r="F77" s="22"/>
      <x:c r="G77" s="24"/>
      <x:c r="H77" s="34" t="e">
        <x:f>G77+SUMIFS(Transactions!$L:$L,Transactions!$H:$H,A77,Transactions!$C:$C,"POSTED")-SUMIFS(Transactions!$L:$L,Transactions!$G:$G,A77,Transactions!$C:$C,"POSTED")</x:f>
      </x:c>
      <x:c r="I77" s="34" t="n">
        <x:f>IF(F77="USD",Settings!$B$7,1)</x:f>
        <x:v>1</x:v>
      </x:c>
      <x:c r="J77" s="34" t="e">
        <x:f>H77*I77</x:f>
      </x:c>
      <x:c r="K77" s="22"/>
      <x:c r="L77" s="22"/>
      <x:c r="M77" s="22"/>
    </x:row>
    <x:row r="78">
      <x:c r="B78" s="22"/>
      <x:c r="C78" s="22"/>
      <x:c r="D78" s="22"/>
      <x:c r="E78" s="22"/>
      <x:c r="F78" s="22"/>
      <x:c r="G78" s="24"/>
      <x:c r="H78" s="34" t="e">
        <x:f>G78+SUMIFS(Transactions!$L:$L,Transactions!$H:$H,A78,Transactions!$C:$C,"POSTED")-SUMIFS(Transactions!$L:$L,Transactions!$G:$G,A78,Transactions!$C:$C,"POSTED")</x:f>
      </x:c>
      <x:c r="I78" s="34" t="n">
        <x:f>IF(F78="USD",Settings!$B$7,1)</x:f>
        <x:v>1</x:v>
      </x:c>
      <x:c r="J78" s="34" t="e">
        <x:f>H78*I78</x:f>
      </x:c>
      <x:c r="K78" s="22"/>
      <x:c r="L78" s="22"/>
      <x:c r="M78" s="22"/>
    </x:row>
    <x:row r="79">
      <x:c r="B79" s="22"/>
      <x:c r="C79" s="22"/>
      <x:c r="D79" s="22"/>
      <x:c r="E79" s="22"/>
      <x:c r="F79" s="22"/>
      <x:c r="G79" s="24"/>
      <x:c r="H79" s="34" t="e">
        <x:f>G79+SUMIFS(Transactions!$L:$L,Transactions!$H:$H,A79,Transactions!$C:$C,"POSTED")-SUMIFS(Transactions!$L:$L,Transactions!$G:$G,A79,Transactions!$C:$C,"POSTED")</x:f>
      </x:c>
      <x:c r="I79" s="34" t="n">
        <x:f>IF(F79="USD",Settings!$B$7,1)</x:f>
        <x:v>1</x:v>
      </x:c>
      <x:c r="J79" s="34" t="e">
        <x:f>H79*I79</x:f>
      </x:c>
      <x:c r="K79" s="22"/>
      <x:c r="L79" s="22"/>
      <x:c r="M79" s="22"/>
    </x:row>
    <x:row r="80">
      <x:c r="B80" s="22"/>
      <x:c r="C80" s="22"/>
      <x:c r="D80" s="22"/>
      <x:c r="E80" s="22"/>
      <x:c r="F80" s="22"/>
      <x:c r="G80" s="24"/>
      <x:c r="H80" s="34" t="e">
        <x:f>G80+SUMIFS(Transactions!$L:$L,Transactions!$H:$H,A80,Transactions!$C:$C,"POSTED")-SUMIFS(Transactions!$L:$L,Transactions!$G:$G,A80,Transactions!$C:$C,"POSTED")</x:f>
      </x:c>
      <x:c r="I80" s="34" t="n">
        <x:f>IF(F80="USD",Settings!$B$7,1)</x:f>
        <x:v>1</x:v>
      </x:c>
      <x:c r="J80" s="34" t="e">
        <x:f>H80*I80</x:f>
      </x:c>
      <x:c r="K80" s="22"/>
      <x:c r="L80" s="22"/>
      <x:c r="M80" s="22"/>
    </x:row>
    <x:row r="81">
      <x:c r="B81" s="22"/>
      <x:c r="C81" s="22"/>
      <x:c r="D81" s="22"/>
      <x:c r="E81" s="22"/>
      <x:c r="F81" s="22"/>
      <x:c r="G81" s="24"/>
      <x:c r="H81" s="34" t="e">
        <x:f>G81+SUMIFS(Transactions!$L:$L,Transactions!$H:$H,A81,Transactions!$C:$C,"POSTED")-SUMIFS(Transactions!$L:$L,Transactions!$G:$G,A81,Transactions!$C:$C,"POSTED")</x:f>
      </x:c>
      <x:c r="I81" s="34" t="n">
        <x:f>IF(F81="USD",Settings!$B$7,1)</x:f>
        <x:v>1</x:v>
      </x:c>
      <x:c r="J81" s="34" t="e">
        <x:f>H81*I81</x:f>
      </x:c>
      <x:c r="K81" s="22"/>
      <x:c r="L81" s="22"/>
      <x:c r="M81" s="22"/>
    </x:row>
    <x:row r="82">
      <x:c r="B82" s="22"/>
      <x:c r="C82" s="22"/>
      <x:c r="D82" s="22"/>
      <x:c r="E82" s="22"/>
      <x:c r="F82" s="22"/>
      <x:c r="G82" s="24"/>
      <x:c r="H82" s="34" t="e">
        <x:f>G82+SUMIFS(Transactions!$L:$L,Transactions!$H:$H,A82,Transactions!$C:$C,"POSTED")-SUMIFS(Transactions!$L:$L,Transactions!$G:$G,A82,Transactions!$C:$C,"POSTED")</x:f>
      </x:c>
      <x:c r="I82" s="34" t="n">
        <x:f>IF(F82="USD",Settings!$B$7,1)</x:f>
        <x:v>1</x:v>
      </x:c>
      <x:c r="J82" s="34" t="e">
        <x:f>H82*I82</x:f>
      </x:c>
      <x:c r="K82" s="22"/>
      <x:c r="L82" s="22"/>
      <x:c r="M82" s="22"/>
    </x:row>
    <x:row r="83">
      <x:c r="B83" s="22"/>
      <x:c r="C83" s="22"/>
      <x:c r="D83" s="22"/>
      <x:c r="E83" s="22"/>
      <x:c r="F83" s="22"/>
      <x:c r="G83" s="24"/>
      <x:c r="H83" s="34" t="e">
        <x:f>G83+SUMIFS(Transactions!$L:$L,Transactions!$H:$H,A83,Transactions!$C:$C,"POSTED")-SUMIFS(Transactions!$L:$L,Transactions!$G:$G,A83,Transactions!$C:$C,"POSTED")</x:f>
      </x:c>
      <x:c r="I83" s="34" t="n">
        <x:f>IF(F83="USD",Settings!$B$7,1)</x:f>
        <x:v>1</x:v>
      </x:c>
      <x:c r="J83" s="34" t="e">
        <x:f>H83*I83</x:f>
      </x:c>
      <x:c r="K83" s="22"/>
      <x:c r="L83" s="22"/>
      <x:c r="M83" s="22"/>
    </x:row>
    <x:row r="84">
      <x:c r="B84" s="22"/>
      <x:c r="C84" s="22"/>
      <x:c r="D84" s="22"/>
      <x:c r="E84" s="22"/>
      <x:c r="F84" s="22"/>
      <x:c r="G84" s="24"/>
      <x:c r="H84" s="34" t="e">
        <x:f>G84+SUMIFS(Transactions!$L:$L,Transactions!$H:$H,A84,Transactions!$C:$C,"POSTED")-SUMIFS(Transactions!$L:$L,Transactions!$G:$G,A84,Transactions!$C:$C,"POSTED")</x:f>
      </x:c>
      <x:c r="I84" s="34" t="n">
        <x:f>IF(F84="USD",Settings!$B$7,1)</x:f>
        <x:v>1</x:v>
      </x:c>
      <x:c r="J84" s="34" t="e">
        <x:f>H84*I84</x:f>
      </x:c>
      <x:c r="K84" s="22"/>
      <x:c r="L84" s="22"/>
      <x:c r="M84" s="22"/>
    </x:row>
    <x:row r="85">
      <x:c r="B85" s="22"/>
      <x:c r="C85" s="22"/>
      <x:c r="D85" s="22"/>
      <x:c r="E85" s="22"/>
      <x:c r="F85" s="22"/>
      <x:c r="G85" s="24"/>
      <x:c r="H85" s="34" t="e">
        <x:f>G85+SUMIFS(Transactions!$L:$L,Transactions!$H:$H,A85,Transactions!$C:$C,"POSTED")-SUMIFS(Transactions!$L:$L,Transactions!$G:$G,A85,Transactions!$C:$C,"POSTED")</x:f>
      </x:c>
      <x:c r="I85" s="34" t="n">
        <x:f>IF(F85="USD",Settings!$B$7,1)</x:f>
        <x:v>1</x:v>
      </x:c>
      <x:c r="J85" s="34" t="e">
        <x:f>H85*I85</x:f>
      </x:c>
      <x:c r="K85" s="22"/>
      <x:c r="L85" s="22"/>
      <x:c r="M85" s="22"/>
    </x:row>
    <x:row r="86">
      <x:c r="B86" s="22"/>
      <x:c r="C86" s="22"/>
      <x:c r="D86" s="22"/>
      <x:c r="E86" s="22"/>
      <x:c r="F86" s="22"/>
      <x:c r="G86" s="24"/>
      <x:c r="H86" s="34" t="e">
        <x:f>G86+SUMIFS(Transactions!$L:$L,Transactions!$H:$H,A86,Transactions!$C:$C,"POSTED")-SUMIFS(Transactions!$L:$L,Transactions!$G:$G,A86,Transactions!$C:$C,"POSTED")</x:f>
      </x:c>
      <x:c r="I86" s="34" t="n">
        <x:f>IF(F86="USD",Settings!$B$7,1)</x:f>
        <x:v>1</x:v>
      </x:c>
      <x:c r="J86" s="34" t="e">
        <x:f>H86*I86</x:f>
      </x:c>
      <x:c r="K86" s="22"/>
      <x:c r="L86" s="22"/>
      <x:c r="M86" s="22"/>
    </x:row>
    <x:row r="87">
      <x:c r="B87" s="22"/>
      <x:c r="C87" s="22"/>
      <x:c r="D87" s="22"/>
      <x:c r="E87" s="22"/>
      <x:c r="F87" s="22"/>
      <x:c r="G87" s="24"/>
      <x:c r="H87" s="34" t="e">
        <x:f>G87+SUMIFS(Transactions!$L:$L,Transactions!$H:$H,A87,Transactions!$C:$C,"POSTED")-SUMIFS(Transactions!$L:$L,Transactions!$G:$G,A87,Transactions!$C:$C,"POSTED")</x:f>
      </x:c>
      <x:c r="I87" s="34" t="n">
        <x:f>IF(F87="USD",Settings!$B$7,1)</x:f>
        <x:v>1</x:v>
      </x:c>
      <x:c r="J87" s="34" t="e">
        <x:f>H87*I87</x:f>
      </x:c>
      <x:c r="K87" s="22"/>
      <x:c r="L87" s="22"/>
      <x:c r="M87" s="22"/>
    </x:row>
    <x:row r="88">
      <x:c r="B88" s="22"/>
      <x:c r="C88" s="22"/>
      <x:c r="D88" s="22"/>
      <x:c r="E88" s="22"/>
      <x:c r="F88" s="22"/>
      <x:c r="G88" s="24"/>
      <x:c r="H88" s="34" t="e">
        <x:f>G88+SUMIFS(Transactions!$L:$L,Transactions!$H:$H,A88,Transactions!$C:$C,"POSTED")-SUMIFS(Transactions!$L:$L,Transactions!$G:$G,A88,Transactions!$C:$C,"POSTED")</x:f>
      </x:c>
      <x:c r="I88" s="34" t="n">
        <x:f>IF(F88="USD",Settings!$B$7,1)</x:f>
        <x:v>1</x:v>
      </x:c>
      <x:c r="J88" s="34" t="e">
        <x:f>H88*I88</x:f>
      </x:c>
      <x:c r="K88" s="22"/>
      <x:c r="L88" s="22"/>
      <x:c r="M88" s="22"/>
    </x:row>
    <x:row r="89">
      <x:c r="B89" s="22"/>
      <x:c r="C89" s="22"/>
      <x:c r="D89" s="22"/>
      <x:c r="E89" s="22"/>
      <x:c r="F89" s="22"/>
      <x:c r="G89" s="24"/>
      <x:c r="H89" s="34" t="e">
        <x:f>G89+SUMIFS(Transactions!$L:$L,Transactions!$H:$H,A89,Transactions!$C:$C,"POSTED")-SUMIFS(Transactions!$L:$L,Transactions!$G:$G,A89,Transactions!$C:$C,"POSTED")</x:f>
      </x:c>
      <x:c r="I89" s="34" t="n">
        <x:f>IF(F89="USD",Settings!$B$7,1)</x:f>
        <x:v>1</x:v>
      </x:c>
      <x:c r="J89" s="34" t="e">
        <x:f>H89*I89</x:f>
      </x:c>
      <x:c r="K89" s="22"/>
      <x:c r="L89" s="22"/>
      <x:c r="M89" s="22"/>
    </x:row>
    <x:row r="90">
      <x:c r="B90" s="22"/>
      <x:c r="C90" s="22"/>
      <x:c r="D90" s="22"/>
      <x:c r="E90" s="22"/>
      <x:c r="F90" s="22"/>
      <x:c r="G90" s="24"/>
      <x:c r="H90" s="34" t="e">
        <x:f>G90+SUMIFS(Transactions!$L:$L,Transactions!$H:$H,A90,Transactions!$C:$C,"POSTED")-SUMIFS(Transactions!$L:$L,Transactions!$G:$G,A90,Transactions!$C:$C,"POSTED")</x:f>
      </x:c>
      <x:c r="I90" s="34" t="n">
        <x:f>IF(F90="USD",Settings!$B$7,1)</x:f>
        <x:v>1</x:v>
      </x:c>
      <x:c r="J90" s="34" t="e">
        <x:f>H90*I90</x:f>
      </x:c>
      <x:c r="K90" s="22"/>
      <x:c r="L90" s="22"/>
      <x:c r="M90" s="22"/>
    </x:row>
    <x:row r="91">
      <x:c r="B91" s="22"/>
      <x:c r="C91" s="22"/>
      <x:c r="D91" s="22"/>
      <x:c r="E91" s="22"/>
      <x:c r="F91" s="22"/>
      <x:c r="G91" s="24"/>
      <x:c r="H91" s="34" t="e">
        <x:f>G91+SUMIFS(Transactions!$L:$L,Transactions!$H:$H,A91,Transactions!$C:$C,"POSTED")-SUMIFS(Transactions!$L:$L,Transactions!$G:$G,A91,Transactions!$C:$C,"POSTED")</x:f>
      </x:c>
      <x:c r="I91" s="34" t="n">
        <x:f>IF(F91="USD",Settings!$B$7,1)</x:f>
        <x:v>1</x:v>
      </x:c>
      <x:c r="J91" s="34" t="e">
        <x:f>H91*I91</x:f>
      </x:c>
      <x:c r="K91" s="22"/>
      <x:c r="L91" s="22"/>
      <x:c r="M91" s="22"/>
    </x:row>
    <x:row r="92">
      <x:c r="B92" s="22"/>
      <x:c r="C92" s="22"/>
      <x:c r="D92" s="22"/>
      <x:c r="E92" s="22"/>
      <x:c r="F92" s="22"/>
      <x:c r="G92" s="24"/>
      <x:c r="H92" s="34" t="e">
        <x:f>G92+SUMIFS(Transactions!$L:$L,Transactions!$H:$H,A92,Transactions!$C:$C,"POSTED")-SUMIFS(Transactions!$L:$L,Transactions!$G:$G,A92,Transactions!$C:$C,"POSTED")</x:f>
      </x:c>
      <x:c r="I92" s="34" t="n">
        <x:f>IF(F92="USD",Settings!$B$7,1)</x:f>
        <x:v>1</x:v>
      </x:c>
      <x:c r="J92" s="34" t="e">
        <x:f>H92*I92</x:f>
      </x:c>
      <x:c r="K92" s="22"/>
      <x:c r="L92" s="22"/>
      <x:c r="M92" s="22"/>
    </x:row>
    <x:row r="93">
      <x:c r="B93" s="22"/>
      <x:c r="C93" s="22"/>
      <x:c r="D93" s="22"/>
      <x:c r="E93" s="22"/>
      <x:c r="F93" s="22"/>
      <x:c r="G93" s="24"/>
      <x:c r="H93" s="34" t="e">
        <x:f>G93+SUMIFS(Transactions!$L:$L,Transactions!$H:$H,A93,Transactions!$C:$C,"POSTED")-SUMIFS(Transactions!$L:$L,Transactions!$G:$G,A93,Transactions!$C:$C,"POSTED")</x:f>
      </x:c>
      <x:c r="I93" s="34" t="n">
        <x:f>IF(F93="USD",Settings!$B$7,1)</x:f>
        <x:v>1</x:v>
      </x:c>
      <x:c r="J93" s="34" t="e">
        <x:f>H93*I93</x:f>
      </x:c>
      <x:c r="K93" s="22"/>
      <x:c r="L93" s="22"/>
      <x:c r="M93" s="22"/>
    </x:row>
    <x:row r="94">
      <x:c r="B94" s="22"/>
      <x:c r="C94" s="22"/>
      <x:c r="D94" s="22"/>
      <x:c r="E94" s="22"/>
      <x:c r="F94" s="22"/>
      <x:c r="G94" s="24"/>
      <x:c r="H94" s="34" t="e">
        <x:f>G94+SUMIFS(Transactions!$L:$L,Transactions!$H:$H,A94,Transactions!$C:$C,"POSTED")-SUMIFS(Transactions!$L:$L,Transactions!$G:$G,A94,Transactions!$C:$C,"POSTED")</x:f>
      </x:c>
      <x:c r="I94" s="34" t="n">
        <x:f>IF(F94="USD",Settings!$B$7,1)</x:f>
        <x:v>1</x:v>
      </x:c>
      <x:c r="J94" s="34" t="e">
        <x:f>H94*I94</x:f>
      </x:c>
      <x:c r="K94" s="22"/>
      <x:c r="L94" s="22"/>
      <x:c r="M94" s="22"/>
    </x:row>
    <x:row r="95">
      <x:c r="B95" s="22"/>
      <x:c r="C95" s="22"/>
      <x:c r="D95" s="22"/>
      <x:c r="E95" s="22"/>
      <x:c r="F95" s="22"/>
      <x:c r="G95" s="24"/>
      <x:c r="H95" s="34" t="e">
        <x:f>G95+SUMIFS(Transactions!$L:$L,Transactions!$H:$H,A95,Transactions!$C:$C,"POSTED")-SUMIFS(Transactions!$L:$L,Transactions!$G:$G,A95,Transactions!$C:$C,"POSTED")</x:f>
      </x:c>
      <x:c r="I95" s="34" t="n">
        <x:f>IF(F95="USD",Settings!$B$7,1)</x:f>
        <x:v>1</x:v>
      </x:c>
      <x:c r="J95" s="34" t="e">
        <x:f>H95*I95</x:f>
      </x:c>
      <x:c r="K95" s="22"/>
      <x:c r="L95" s="22"/>
      <x:c r="M95" s="22"/>
    </x:row>
    <x:row r="96">
      <x:c r="B96" s="22"/>
      <x:c r="C96" s="22"/>
      <x:c r="D96" s="22"/>
      <x:c r="E96" s="22"/>
      <x:c r="F96" s="22"/>
      <x:c r="G96" s="24"/>
      <x:c r="H96" s="34" t="e">
        <x:f>G96+SUMIFS(Transactions!$L:$L,Transactions!$H:$H,A96,Transactions!$C:$C,"POSTED")-SUMIFS(Transactions!$L:$L,Transactions!$G:$G,A96,Transactions!$C:$C,"POSTED")</x:f>
      </x:c>
      <x:c r="I96" s="34" t="n">
        <x:f>IF(F96="USD",Settings!$B$7,1)</x:f>
        <x:v>1</x:v>
      </x:c>
      <x:c r="J96" s="34" t="e">
        <x:f>H96*I96</x:f>
      </x:c>
      <x:c r="K96" s="22"/>
      <x:c r="L96" s="22"/>
      <x:c r="M96" s="22"/>
    </x:row>
    <x:row r="97">
      <x:c r="B97" s="22"/>
      <x:c r="C97" s="22"/>
      <x:c r="D97" s="22"/>
      <x:c r="E97" s="22"/>
      <x:c r="F97" s="22"/>
      <x:c r="G97" s="24"/>
      <x:c r="H97" s="34" t="e">
        <x:f>G97+SUMIFS(Transactions!$L:$L,Transactions!$H:$H,A97,Transactions!$C:$C,"POSTED")-SUMIFS(Transactions!$L:$L,Transactions!$G:$G,A97,Transactions!$C:$C,"POSTED")</x:f>
      </x:c>
      <x:c r="I97" s="34" t="n">
        <x:f>IF(F97="USD",Settings!$B$7,1)</x:f>
        <x:v>1</x:v>
      </x:c>
      <x:c r="J97" s="34" t="e">
        <x:f>H97*I97</x:f>
      </x:c>
      <x:c r="K97" s="22"/>
      <x:c r="L97" s="22"/>
      <x:c r="M97" s="22"/>
    </x:row>
    <x:row r="98">
      <x:c r="B98" s="22"/>
      <x:c r="C98" s="22"/>
      <x:c r="D98" s="22"/>
      <x:c r="E98" s="22"/>
      <x:c r="F98" s="22"/>
      <x:c r="G98" s="24"/>
      <x:c r="H98" s="34" t="e">
        <x:f>G98+SUMIFS(Transactions!$L:$L,Transactions!$H:$H,A98,Transactions!$C:$C,"POSTED")-SUMIFS(Transactions!$L:$L,Transactions!$G:$G,A98,Transactions!$C:$C,"POSTED")</x:f>
      </x:c>
      <x:c r="I98" s="34" t="n">
        <x:f>IF(F98="USD",Settings!$B$7,1)</x:f>
        <x:v>1</x:v>
      </x:c>
      <x:c r="J98" s="34" t="e">
        <x:f>H98*I98</x:f>
      </x:c>
      <x:c r="K98" s="22"/>
      <x:c r="L98" s="22"/>
      <x:c r="M98" s="22"/>
    </x:row>
    <x:row r="99">
      <x:c r="B99" s="22"/>
      <x:c r="C99" s="22"/>
      <x:c r="D99" s="22"/>
      <x:c r="E99" s="22"/>
      <x:c r="F99" s="22"/>
      <x:c r="G99" s="24"/>
      <x:c r="H99" s="34" t="e">
        <x:f>G99+SUMIFS(Transactions!$L:$L,Transactions!$H:$H,A99,Transactions!$C:$C,"POSTED")-SUMIFS(Transactions!$L:$L,Transactions!$G:$G,A99,Transactions!$C:$C,"POSTED")</x:f>
      </x:c>
      <x:c r="I99" s="34" t="n">
        <x:f>IF(F99="USD",Settings!$B$7,1)</x:f>
        <x:v>1</x:v>
      </x:c>
      <x:c r="J99" s="34" t="e">
        <x:f>H99*I99</x:f>
      </x:c>
      <x:c r="K99" s="22"/>
      <x:c r="L99" s="22"/>
      <x:c r="M99" s="22"/>
    </x:row>
    <x:row r="100">
      <x:c r="B100" s="22"/>
      <x:c r="C100" s="22"/>
      <x:c r="D100" s="22"/>
      <x:c r="E100" s="22"/>
      <x:c r="F100" s="22"/>
      <x:c r="G100" s="24"/>
      <x:c r="H100" s="34" t="e">
        <x:f>G100+SUMIFS(Transactions!$L:$L,Transactions!$H:$H,A100,Transactions!$C:$C,"POSTED")-SUMIFS(Transactions!$L:$L,Transactions!$G:$G,A100,Transactions!$C:$C,"POSTED")</x:f>
      </x:c>
      <x:c r="I100" s="34" t="n">
        <x:f>IF(F100="USD",Settings!$B$7,1)</x:f>
        <x:v>1</x:v>
      </x:c>
      <x:c r="J100" s="34" t="e">
        <x:f>H100*I100</x:f>
      </x:c>
      <x:c r="K100" s="22"/>
      <x:c r="L100" s="22"/>
      <x:c r="M100" s="22"/>
    </x:row>
  </x:sheetData>
  <x:mergeCells>
    <x:mergeCell ref="A1:W1"/>
    <x:mergeCell ref="A2:W2"/>
  </x:mergeCells>
  <x:dataValidations count="3">
    <x:dataValidation type="list" sqref="C5:C100">
      <x:formula1>"CASH,BANK,SAVINGS,GOLD,VEHICLE,REAL_ESTATE,BUSINESS,INVESTMENT,CREDIT_CARD,LOAN,OTHER"</x:formula1>
    </x:dataValidation>
    <x:dataValidation type="list" sqref="E5:E100">
      <x:formula1>"FAMILY,PERSONAL,BUSINESS"</x:formula1>
    </x:dataValidation>
    <x:dataValidation type="list" sqref="F5:F100">
      <x:formula1>"VND,USD"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13" hidden="0" customWidth="1"/>
    <x:col min="4" max="4" width="18" hidden="0" customWidth="1"/>
    <x:col min="5" max="5" width="18" hidden="0" customWidth="1"/>
    <x:col min="6" max="6" width="13" hidden="0" customWidth="1"/>
    <x:col min="7" max="7" width="15" hidden="0" customWidth="1"/>
    <x:col min="8" max="8" width="14" hidden="0" customWidth="1"/>
  </x:cols>
  <x:sheetData>
    <x:row r="1" ht="26" customHeight="1">
      <x:c r="A1" s="3" t="str">
        <x:v>DANH MỤC THU – CHI</x:v>
      </x:c>
    </x:row>
    <x:row r="2" ht="28" customHeight="1">
      <x:c r="A2" s="8" t="str">
        <x:v>Danh mục mở rộng tùy nhu cầu. Không dùng mục tiêu để thay thế danh mục chi tiêu.</x:v>
      </x:c>
    </x:row>
    <x:row r="4" ht="30" customHeight="1">
      <x:c r="A4" s="16" t="str">
        <x:v>Category_ID</x:v>
      </x:c>
      <x:c r="B4" s="16" t="str">
        <x:v>Tên danh mục</x:v>
      </x:c>
      <x:c r="C4" s="16" t="str">
        <x:v>Loại</x:v>
      </x:c>
      <x:c r="D4" s="16" t="str">
        <x:v>Nhóm ngân sách</x:v>
      </x:c>
      <x:c r="E4" s="16" t="str">
        <x:v>Danh mục cha</x:v>
      </x:c>
      <x:c r="F4" s="16" t="str">
        <x:v>Thiết yếu?</x:v>
      </x:c>
      <x:c r="G4" s="16" t="str">
        <x:v>Gắn mục tiêu?</x:v>
      </x:c>
      <x:c r="H4" s="16" t="str">
        <x:v>Trạng thái</x:v>
      </x:c>
    </x:row>
    <x:row r="5">
      <x:c r="A5" t="str">
        <x:v>CAT001</x:v>
      </x:c>
      <x:c r="B5" s="22" t="str">
        <x:v>Lương</x:v>
      </x:c>
      <x:c r="C5" s="22" t="str">
        <x:v>INCOME</x:v>
      </x:c>
      <x:c r="D5" s="22" t="str"/>
      <x:c r="E5" s="22" t="str"/>
      <x:c r="F5" s="22" t="str">
        <x:v>Không</x:v>
      </x:c>
      <x:c r="G5" s="22" t="str">
        <x:v>Không</x:v>
      </x:c>
      <x:c r="H5" s="22" t="str">
        <x:v>Hoạt động</x:v>
      </x:c>
    </x:row>
    <x:row r="6">
      <x:c r="A6" t="str">
        <x:v>CAT002</x:v>
      </x:c>
      <x:c r="B6" s="22" t="str">
        <x:v>Thưởng</x:v>
      </x:c>
      <x:c r="C6" s="22" t="str">
        <x:v>INCOME</x:v>
      </x:c>
      <x:c r="D6" s="22" t="str"/>
      <x:c r="E6" s="22" t="str"/>
      <x:c r="F6" s="22" t="str">
        <x:v>Không</x:v>
      </x:c>
      <x:c r="G6" s="22" t="str">
        <x:v>Không</x:v>
      </x:c>
      <x:c r="H6" s="22" t="str">
        <x:v>Hoạt động</x:v>
      </x:c>
    </x:row>
    <x:row r="7">
      <x:c r="A7" t="str">
        <x:v>CAT003</x:v>
      </x:c>
      <x:c r="B7" s="22" t="str">
        <x:v>Thu nhập kinh doanh</x:v>
      </x:c>
      <x:c r="C7" s="22" t="str">
        <x:v>INCOME</x:v>
      </x:c>
      <x:c r="D7" s="22" t="str"/>
      <x:c r="E7" s="22" t="str"/>
      <x:c r="F7" s="22" t="str">
        <x:v>Không</x:v>
      </x:c>
      <x:c r="G7" s="22" t="str">
        <x:v>Có</x:v>
      </x:c>
      <x:c r="H7" s="22" t="str">
        <x:v>Hoạt động</x:v>
      </x:c>
    </x:row>
    <x:row r="8">
      <x:c r="A8" t="str">
        <x:v>CAT004</x:v>
      </x:c>
      <x:c r="B8" s="22" t="str">
        <x:v>Thu nhập đầu tư</x:v>
      </x:c>
      <x:c r="C8" s="22" t="str">
        <x:v>INCOME</x:v>
      </x:c>
      <x:c r="D8" s="22" t="str"/>
      <x:c r="E8" s="22" t="str"/>
      <x:c r="F8" s="22" t="str">
        <x:v>Không</x:v>
      </x:c>
      <x:c r="G8" s="22" t="str">
        <x:v>Có</x:v>
      </x:c>
      <x:c r="H8" s="22" t="str">
        <x:v>Hoạt động</x:v>
      </x:c>
    </x:row>
    <x:row r="9">
      <x:c r="A9" t="str">
        <x:v>CAT101</x:v>
      </x:c>
      <x:c r="B9" s="22" t="str">
        <x:v>Ăn uống tại nhà</x:v>
      </x:c>
      <x:c r="C9" s="22" t="str">
        <x:v>EXPENSE</x:v>
      </x:c>
      <x:c r="D9" s="22" t="str">
        <x:v>NEEDS</x:v>
      </x:c>
      <x:c r="E9" s="22" t="str"/>
      <x:c r="F9" s="22" t="str">
        <x:v>Có</x:v>
      </x:c>
      <x:c r="G9" s="22" t="str">
        <x:v>Không</x:v>
      </x:c>
      <x:c r="H9" s="22" t="str">
        <x:v>Hoạt động</x:v>
      </x:c>
    </x:row>
    <x:row r="10">
      <x:c r="A10" t="str">
        <x:v>CAT102</x:v>
      </x:c>
      <x:c r="B10" s="22" t="str">
        <x:v>Điện nước Internet</x:v>
      </x:c>
      <x:c r="C10" s="22" t="str">
        <x:v>EXPENSE</x:v>
      </x:c>
      <x:c r="D10" s="22" t="str">
        <x:v>NEEDS</x:v>
      </x:c>
      <x:c r="E10" s="22" t="str"/>
      <x:c r="F10" s="22" t="str">
        <x:v>Có</x:v>
      </x:c>
      <x:c r="G10" s="22" t="str">
        <x:v>Không</x:v>
      </x:c>
      <x:c r="H10" s="22" t="str">
        <x:v>Hoạt động</x:v>
      </x:c>
    </x:row>
    <x:row r="11">
      <x:c r="A11" t="str">
        <x:v>CAT103</x:v>
      </x:c>
      <x:c r="B11" s="22" t="str">
        <x:v>Nhà ở</x:v>
      </x:c>
      <x:c r="C11" s="22" t="str">
        <x:v>EXPENSE</x:v>
      </x:c>
      <x:c r="D11" s="22" t="str">
        <x:v>NEEDS</x:v>
      </x:c>
      <x:c r="E11" s="22" t="str"/>
      <x:c r="F11" s="22" t="str">
        <x:v>Có</x:v>
      </x:c>
      <x:c r="G11" s="22" t="str">
        <x:v>Không</x:v>
      </x:c>
      <x:c r="H11" s="22" t="str">
        <x:v>Hoạt động</x:v>
      </x:c>
    </x:row>
    <x:row r="12">
      <x:c r="A12" t="str">
        <x:v>CAT104</x:v>
      </x:c>
      <x:c r="B12" s="22" t="str">
        <x:v>Đi lại</x:v>
      </x:c>
      <x:c r="C12" s="22" t="str">
        <x:v>EXPENSE</x:v>
      </x:c>
      <x:c r="D12" s="22" t="str">
        <x:v>NEEDS</x:v>
      </x:c>
      <x:c r="E12" s="22" t="str"/>
      <x:c r="F12" s="22" t="str">
        <x:v>Có</x:v>
      </x:c>
      <x:c r="G12" s="22" t="str">
        <x:v>Không</x:v>
      </x:c>
      <x:c r="H12" s="22" t="str">
        <x:v>Hoạt động</x:v>
      </x:c>
    </x:row>
    <x:row r="13">
      <x:c r="A13" t="str">
        <x:v>CAT105</x:v>
      </x:c>
      <x:c r="B13" s="22" t="str">
        <x:v>Học phí con</x:v>
      </x:c>
      <x:c r="C13" s="22" t="str">
        <x:v>EXPENSE</x:v>
      </x:c>
      <x:c r="D13" s="22" t="str">
        <x:v>NEEDS</x:v>
      </x:c>
      <x:c r="E13" s="22" t="str"/>
      <x:c r="F13" s="22" t="str">
        <x:v>Có</x:v>
      </x:c>
      <x:c r="G13" s="22" t="str">
        <x:v>Có</x:v>
      </x:c>
      <x:c r="H13" s="22" t="str">
        <x:v>Hoạt động</x:v>
      </x:c>
    </x:row>
    <x:row r="14">
      <x:c r="A14" t="str">
        <x:v>CAT201</x:v>
      </x:c>
      <x:c r="B14" s="22" t="str">
        <x:v>Ăn ngoài &amp; Cafe</x:v>
      </x:c>
      <x:c r="C14" s="22" t="str">
        <x:v>EXPENSE</x:v>
      </x:c>
      <x:c r="D14" s="22" t="str">
        <x:v>WANTS</x:v>
      </x:c>
      <x:c r="E14" s="22" t="str"/>
      <x:c r="F14" s="22" t="str">
        <x:v>Không</x:v>
      </x:c>
      <x:c r="G14" s="22" t="str">
        <x:v>Không</x:v>
      </x:c>
      <x:c r="H14" s="22" t="str">
        <x:v>Hoạt động</x:v>
      </x:c>
    </x:row>
    <x:row r="15">
      <x:c r="A15" t="str">
        <x:v>CAT202</x:v>
      </x:c>
      <x:c r="B15" s="22" t="str">
        <x:v>Mua sắm cá nhân</x:v>
      </x:c>
      <x:c r="C15" s="22" t="str">
        <x:v>EXPENSE</x:v>
      </x:c>
      <x:c r="D15" s="22" t="str">
        <x:v>WANTS</x:v>
      </x:c>
      <x:c r="E15" s="22" t="str"/>
      <x:c r="F15" s="22" t="str">
        <x:v>Không</x:v>
      </x:c>
      <x:c r="G15" s="22" t="str">
        <x:v>Không</x:v>
      </x:c>
      <x:c r="H15" s="22" t="str">
        <x:v>Hoạt động</x:v>
      </x:c>
    </x:row>
    <x:row r="16">
      <x:c r="A16" t="str">
        <x:v>CAT203</x:v>
      </x:c>
      <x:c r="B16" s="22" t="str">
        <x:v>Giải trí &amp; Du lịch</x:v>
      </x:c>
      <x:c r="C16" s="22" t="str">
        <x:v>EXPENSE</x:v>
      </x:c>
      <x:c r="D16" s="22" t="str">
        <x:v>WANTS</x:v>
      </x:c>
      <x:c r="E16" s="22" t="str"/>
      <x:c r="F16" s="22" t="str">
        <x:v>Không</x:v>
      </x:c>
      <x:c r="G16" s="22" t="str">
        <x:v>Có</x:v>
      </x:c>
      <x:c r="H16" s="22" t="str">
        <x:v>Hoạt động</x:v>
      </x:c>
    </x:row>
    <x:row r="17">
      <x:c r="A17" t="str">
        <x:v>CAT301</x:v>
      </x:c>
      <x:c r="B17" s="22" t="str">
        <x:v>Phân bổ mục tiêu</x:v>
      </x:c>
      <x:c r="C17" s="22" t="str">
        <x:v>TRANSFER</x:v>
      </x:c>
      <x:c r="D17" s="22" t="str">
        <x:v>SAVINGS</x:v>
      </x:c>
      <x:c r="E17" s="22" t="str"/>
      <x:c r="F17" s="22" t="str">
        <x:v>Không</x:v>
      </x:c>
      <x:c r="G17" s="22" t="str">
        <x:v>Có</x:v>
      </x:c>
      <x:c r="H17" s="22" t="str">
        <x:v>Hoạt động</x:v>
      </x:c>
    </x:row>
    <x:row r="18">
      <x:c r="A18" t="str">
        <x:v>CAT302</x:v>
      </x:c>
      <x:c r="B18" s="22" t="str">
        <x:v>Đầu tư</x:v>
      </x:c>
      <x:c r="C18" s="22" t="str">
        <x:v>TRANSFER</x:v>
      </x:c>
      <x:c r="D18" s="22" t="str">
        <x:v>SAVINGS</x:v>
      </x:c>
      <x:c r="E18" s="22" t="str"/>
      <x:c r="F18" s="22" t="str">
        <x:v>Không</x:v>
      </x:c>
      <x:c r="G18" s="22" t="str">
        <x:v>Có</x:v>
      </x:c>
      <x:c r="H18" s="22" t="str">
        <x:v>Hoạt động</x:v>
      </x:c>
    </x:row>
    <x:row r="19">
      <x:c r="B19" s="22"/>
      <x:c r="C19" s="22"/>
      <x:c r="D19" s="22"/>
      <x:c r="E19" s="22"/>
      <x:c r="F19" s="22"/>
      <x:c r="G19" s="22"/>
      <x:c r="H19" s="22"/>
    </x:row>
    <x:row r="20">
      <x:c r="B20" s="22"/>
      <x:c r="C20" s="22"/>
      <x:c r="D20" s="22"/>
      <x:c r="E20" s="22"/>
      <x:c r="F20" s="22"/>
      <x:c r="G20" s="22"/>
      <x:c r="H20" s="22"/>
    </x:row>
    <x:row r="21">
      <x:c r="B21" s="22"/>
      <x:c r="C21" s="22"/>
      <x:c r="D21" s="22"/>
      <x:c r="E21" s="22"/>
      <x:c r="F21" s="22"/>
      <x:c r="G21" s="22"/>
      <x:c r="H21" s="22"/>
    </x:row>
    <x:row r="22">
      <x:c r="B22" s="22"/>
      <x:c r="C22" s="22"/>
      <x:c r="D22" s="22"/>
      <x:c r="E22" s="22"/>
      <x:c r="F22" s="22"/>
      <x:c r="G22" s="22"/>
      <x:c r="H22" s="22"/>
    </x:row>
    <x:row r="23">
      <x:c r="B23" s="22"/>
      <x:c r="C23" s="22"/>
      <x:c r="D23" s="22"/>
      <x:c r="E23" s="22"/>
      <x:c r="F23" s="22"/>
      <x:c r="G23" s="22"/>
      <x:c r="H23" s="22"/>
    </x:row>
    <x:row r="24">
      <x:c r="B24" s="22"/>
      <x:c r="C24" s="22"/>
      <x:c r="D24" s="22"/>
      <x:c r="E24" s="22"/>
      <x:c r="F24" s="22"/>
      <x:c r="G24" s="22"/>
      <x:c r="H24" s="22"/>
    </x:row>
    <x:row r="25">
      <x:c r="B25" s="22"/>
      <x:c r="C25" s="22"/>
      <x:c r="D25" s="22"/>
      <x:c r="E25" s="22"/>
      <x:c r="F25" s="22"/>
      <x:c r="G25" s="22"/>
      <x:c r="H25" s="22"/>
    </x:row>
    <x:row r="26">
      <x:c r="B26" s="22"/>
      <x:c r="C26" s="22"/>
      <x:c r="D26" s="22"/>
      <x:c r="E26" s="22"/>
      <x:c r="F26" s="22"/>
      <x:c r="G26" s="22"/>
      <x:c r="H26" s="22"/>
    </x:row>
    <x:row r="27">
      <x:c r="B27" s="22"/>
      <x:c r="C27" s="22"/>
      <x:c r="D27" s="22"/>
      <x:c r="E27" s="22"/>
      <x:c r="F27" s="22"/>
      <x:c r="G27" s="22"/>
      <x:c r="H27" s="22"/>
    </x:row>
    <x:row r="28">
      <x:c r="B28" s="22"/>
      <x:c r="C28" s="22"/>
      <x:c r="D28" s="22"/>
      <x:c r="E28" s="22"/>
      <x:c r="F28" s="22"/>
      <x:c r="G28" s="22"/>
      <x:c r="H28" s="22"/>
    </x:row>
    <x:row r="29">
      <x:c r="B29" s="22"/>
      <x:c r="C29" s="22"/>
      <x:c r="D29" s="22"/>
      <x:c r="E29" s="22"/>
      <x:c r="F29" s="22"/>
      <x:c r="G29" s="22"/>
      <x:c r="H29" s="22"/>
    </x:row>
    <x:row r="30">
      <x:c r="B30" s="22"/>
      <x:c r="C30" s="22"/>
      <x:c r="D30" s="22"/>
      <x:c r="E30" s="22"/>
      <x:c r="F30" s="22"/>
      <x:c r="G30" s="22"/>
      <x:c r="H30" s="22"/>
    </x:row>
    <x:row r="31">
      <x:c r="B31" s="22"/>
      <x:c r="C31" s="22"/>
      <x:c r="D31" s="22"/>
      <x:c r="E31" s="22"/>
      <x:c r="F31" s="22"/>
      <x:c r="G31" s="22"/>
      <x:c r="H31" s="22"/>
    </x:row>
    <x:row r="32">
      <x:c r="B32" s="22"/>
      <x:c r="C32" s="22"/>
      <x:c r="D32" s="22"/>
      <x:c r="E32" s="22"/>
      <x:c r="F32" s="22"/>
      <x:c r="G32" s="22"/>
      <x:c r="H32" s="22"/>
    </x:row>
    <x:row r="33">
      <x:c r="B33" s="22"/>
      <x:c r="C33" s="22"/>
      <x:c r="D33" s="22"/>
      <x:c r="E33" s="22"/>
      <x:c r="F33" s="22"/>
      <x:c r="G33" s="22"/>
      <x:c r="H33" s="22"/>
    </x:row>
    <x:row r="34">
      <x:c r="B34" s="22"/>
      <x:c r="C34" s="22"/>
      <x:c r="D34" s="22"/>
      <x:c r="E34" s="22"/>
      <x:c r="F34" s="22"/>
      <x:c r="G34" s="22"/>
      <x:c r="H34" s="22"/>
    </x:row>
    <x:row r="35">
      <x:c r="B35" s="22"/>
      <x:c r="C35" s="22"/>
      <x:c r="D35" s="22"/>
      <x:c r="E35" s="22"/>
      <x:c r="F35" s="22"/>
      <x:c r="G35" s="22"/>
      <x:c r="H35" s="22"/>
    </x:row>
    <x:row r="36">
      <x:c r="B36" s="22"/>
      <x:c r="C36" s="22"/>
      <x:c r="D36" s="22"/>
      <x:c r="E36" s="22"/>
      <x:c r="F36" s="22"/>
      <x:c r="G36" s="22"/>
      <x:c r="H36" s="22"/>
    </x:row>
    <x:row r="37">
      <x:c r="B37" s="22"/>
      <x:c r="C37" s="22"/>
      <x:c r="D37" s="22"/>
      <x:c r="E37" s="22"/>
      <x:c r="F37" s="22"/>
      <x:c r="G37" s="22"/>
      <x:c r="H37" s="22"/>
    </x:row>
    <x:row r="38">
      <x:c r="B38" s="22"/>
      <x:c r="C38" s="22"/>
      <x:c r="D38" s="22"/>
      <x:c r="E38" s="22"/>
      <x:c r="F38" s="22"/>
      <x:c r="G38" s="22"/>
      <x:c r="H38" s="22"/>
    </x:row>
    <x:row r="39">
      <x:c r="B39" s="22"/>
      <x:c r="C39" s="22"/>
      <x:c r="D39" s="22"/>
      <x:c r="E39" s="22"/>
      <x:c r="F39" s="22"/>
      <x:c r="G39" s="22"/>
      <x:c r="H39" s="22"/>
    </x:row>
    <x:row r="40">
      <x:c r="B40" s="22"/>
      <x:c r="C40" s="22"/>
      <x:c r="D40" s="22"/>
      <x:c r="E40" s="22"/>
      <x:c r="F40" s="22"/>
      <x:c r="G40" s="22"/>
      <x:c r="H40" s="22"/>
    </x:row>
    <x:row r="41">
      <x:c r="B41" s="22"/>
      <x:c r="C41" s="22"/>
      <x:c r="D41" s="22"/>
      <x:c r="E41" s="22"/>
      <x:c r="F41" s="22"/>
      <x:c r="G41" s="22"/>
      <x:c r="H41" s="22"/>
    </x:row>
    <x:row r="42">
      <x:c r="B42" s="22"/>
      <x:c r="C42" s="22"/>
      <x:c r="D42" s="22"/>
      <x:c r="E42" s="22"/>
      <x:c r="F42" s="22"/>
      <x:c r="G42" s="22"/>
      <x:c r="H42" s="22"/>
    </x:row>
    <x:row r="43">
      <x:c r="B43" s="22"/>
      <x:c r="C43" s="22"/>
      <x:c r="D43" s="22"/>
      <x:c r="E43" s="22"/>
      <x:c r="F43" s="22"/>
      <x:c r="G43" s="22"/>
      <x:c r="H43" s="22"/>
    </x:row>
    <x:row r="44">
      <x:c r="B44" s="22"/>
      <x:c r="C44" s="22"/>
      <x:c r="D44" s="22"/>
      <x:c r="E44" s="22"/>
      <x:c r="F44" s="22"/>
      <x:c r="G44" s="22"/>
      <x:c r="H44" s="22"/>
    </x:row>
    <x:row r="45">
      <x:c r="B45" s="22"/>
      <x:c r="C45" s="22"/>
      <x:c r="D45" s="22"/>
      <x:c r="E45" s="22"/>
      <x:c r="F45" s="22"/>
      <x:c r="G45" s="22"/>
      <x:c r="H45" s="22"/>
    </x:row>
    <x:row r="46">
      <x:c r="B46" s="22"/>
      <x:c r="C46" s="22"/>
      <x:c r="D46" s="22"/>
      <x:c r="E46" s="22"/>
      <x:c r="F46" s="22"/>
      <x:c r="G46" s="22"/>
      <x:c r="H46" s="22"/>
    </x:row>
    <x:row r="47">
      <x:c r="B47" s="22"/>
      <x:c r="C47" s="22"/>
      <x:c r="D47" s="22"/>
      <x:c r="E47" s="22"/>
      <x:c r="F47" s="22"/>
      <x:c r="G47" s="22"/>
      <x:c r="H47" s="22"/>
    </x:row>
    <x:row r="48">
      <x:c r="B48" s="22"/>
      <x:c r="C48" s="22"/>
      <x:c r="D48" s="22"/>
      <x:c r="E48" s="22"/>
      <x:c r="F48" s="22"/>
      <x:c r="G48" s="22"/>
      <x:c r="H48" s="22"/>
    </x:row>
    <x:row r="49">
      <x:c r="B49" s="22"/>
      <x:c r="C49" s="22"/>
      <x:c r="D49" s="22"/>
      <x:c r="E49" s="22"/>
      <x:c r="F49" s="22"/>
      <x:c r="G49" s="22"/>
      <x:c r="H49" s="22"/>
    </x:row>
    <x:row r="50">
      <x:c r="B50" s="22"/>
      <x:c r="C50" s="22"/>
      <x:c r="D50" s="22"/>
      <x:c r="E50" s="22"/>
      <x:c r="F50" s="22"/>
      <x:c r="G50" s="22"/>
      <x:c r="H50" s="22"/>
    </x:row>
    <x:row r="51">
      <x:c r="B51" s="22"/>
      <x:c r="C51" s="22"/>
      <x:c r="D51" s="22"/>
      <x:c r="E51" s="22"/>
      <x:c r="F51" s="22"/>
      <x:c r="G51" s="22"/>
      <x:c r="H51" s="22"/>
    </x:row>
    <x:row r="52">
      <x:c r="B52" s="22"/>
      <x:c r="C52" s="22"/>
      <x:c r="D52" s="22"/>
      <x:c r="E52" s="22"/>
      <x:c r="F52" s="22"/>
      <x:c r="G52" s="22"/>
      <x:c r="H52" s="22"/>
    </x:row>
    <x:row r="53">
      <x:c r="B53" s="22"/>
      <x:c r="C53" s="22"/>
      <x:c r="D53" s="22"/>
      <x:c r="E53" s="22"/>
      <x:c r="F53" s="22"/>
      <x:c r="G53" s="22"/>
      <x:c r="H53" s="22"/>
    </x:row>
    <x:row r="54">
      <x:c r="B54" s="22"/>
      <x:c r="C54" s="22"/>
      <x:c r="D54" s="22"/>
      <x:c r="E54" s="22"/>
      <x:c r="F54" s="22"/>
      <x:c r="G54" s="22"/>
      <x:c r="H54" s="22"/>
    </x:row>
    <x:row r="55">
      <x:c r="B55" s="22"/>
      <x:c r="C55" s="22"/>
      <x:c r="D55" s="22"/>
      <x:c r="E55" s="22"/>
      <x:c r="F55" s="22"/>
      <x:c r="G55" s="22"/>
      <x:c r="H55" s="22"/>
    </x:row>
    <x:row r="56">
      <x:c r="B56" s="22"/>
      <x:c r="C56" s="22"/>
      <x:c r="D56" s="22"/>
      <x:c r="E56" s="22"/>
      <x:c r="F56" s="22"/>
      <x:c r="G56" s="22"/>
      <x:c r="H56" s="22"/>
    </x:row>
    <x:row r="57">
      <x:c r="B57" s="22"/>
      <x:c r="C57" s="22"/>
      <x:c r="D57" s="22"/>
      <x:c r="E57" s="22"/>
      <x:c r="F57" s="22"/>
      <x:c r="G57" s="22"/>
      <x:c r="H57" s="22"/>
    </x:row>
    <x:row r="58">
      <x:c r="B58" s="22"/>
      <x:c r="C58" s="22"/>
      <x:c r="D58" s="22"/>
      <x:c r="E58" s="22"/>
      <x:c r="F58" s="22"/>
      <x:c r="G58" s="22"/>
      <x:c r="H58" s="22"/>
    </x:row>
    <x:row r="59">
      <x:c r="B59" s="22"/>
      <x:c r="C59" s="22"/>
      <x:c r="D59" s="22"/>
      <x:c r="E59" s="22"/>
      <x:c r="F59" s="22"/>
      <x:c r="G59" s="22"/>
      <x:c r="H59" s="22"/>
    </x:row>
    <x:row r="60">
      <x:c r="B60" s="22"/>
      <x:c r="C60" s="22"/>
      <x:c r="D60" s="22"/>
      <x:c r="E60" s="22"/>
      <x:c r="F60" s="22"/>
      <x:c r="G60" s="22"/>
      <x:c r="H60" s="22"/>
    </x:row>
    <x:row r="61">
      <x:c r="B61" s="22"/>
      <x:c r="C61" s="22"/>
      <x:c r="D61" s="22"/>
      <x:c r="E61" s="22"/>
      <x:c r="F61" s="22"/>
      <x:c r="G61" s="22"/>
      <x:c r="H61" s="22"/>
    </x:row>
    <x:row r="62">
      <x:c r="B62" s="22"/>
      <x:c r="C62" s="22"/>
      <x:c r="D62" s="22"/>
      <x:c r="E62" s="22"/>
      <x:c r="F62" s="22"/>
      <x:c r="G62" s="22"/>
      <x:c r="H62" s="22"/>
    </x:row>
    <x:row r="63">
      <x:c r="B63" s="22"/>
      <x:c r="C63" s="22"/>
      <x:c r="D63" s="22"/>
      <x:c r="E63" s="22"/>
      <x:c r="F63" s="22"/>
      <x:c r="G63" s="22"/>
      <x:c r="H63" s="22"/>
    </x:row>
    <x:row r="64">
      <x:c r="B64" s="22"/>
      <x:c r="C64" s="22"/>
      <x:c r="D64" s="22"/>
      <x:c r="E64" s="22"/>
      <x:c r="F64" s="22"/>
      <x:c r="G64" s="22"/>
      <x:c r="H64" s="22"/>
    </x:row>
    <x:row r="65">
      <x:c r="B65" s="22"/>
      <x:c r="C65" s="22"/>
      <x:c r="D65" s="22"/>
      <x:c r="E65" s="22"/>
      <x:c r="F65" s="22"/>
      <x:c r="G65" s="22"/>
      <x:c r="H65" s="22"/>
    </x:row>
    <x:row r="66">
      <x:c r="B66" s="22"/>
      <x:c r="C66" s="22"/>
      <x:c r="D66" s="22"/>
      <x:c r="E66" s="22"/>
      <x:c r="F66" s="22"/>
      <x:c r="G66" s="22"/>
      <x:c r="H66" s="22"/>
    </x:row>
    <x:row r="67">
      <x:c r="B67" s="22"/>
      <x:c r="C67" s="22"/>
      <x:c r="D67" s="22"/>
      <x:c r="E67" s="22"/>
      <x:c r="F67" s="22"/>
      <x:c r="G67" s="22"/>
      <x:c r="H67" s="22"/>
    </x:row>
    <x:row r="68">
      <x:c r="B68" s="22"/>
      <x:c r="C68" s="22"/>
      <x:c r="D68" s="22"/>
      <x:c r="E68" s="22"/>
      <x:c r="F68" s="22"/>
      <x:c r="G68" s="22"/>
      <x:c r="H68" s="22"/>
    </x:row>
    <x:row r="69">
      <x:c r="B69" s="22"/>
      <x:c r="C69" s="22"/>
      <x:c r="D69" s="22"/>
      <x:c r="E69" s="22"/>
      <x:c r="F69" s="22"/>
      <x:c r="G69" s="22"/>
      <x:c r="H69" s="22"/>
    </x:row>
    <x:row r="70">
      <x:c r="B70" s="22"/>
      <x:c r="C70" s="22"/>
      <x:c r="D70" s="22"/>
      <x:c r="E70" s="22"/>
      <x:c r="F70" s="22"/>
      <x:c r="G70" s="22"/>
      <x:c r="H70" s="22"/>
    </x:row>
    <x:row r="71">
      <x:c r="B71" s="22"/>
      <x:c r="C71" s="22"/>
      <x:c r="D71" s="22"/>
      <x:c r="E71" s="22"/>
      <x:c r="F71" s="22"/>
      <x:c r="G71" s="22"/>
      <x:c r="H71" s="22"/>
    </x:row>
    <x:row r="72">
      <x:c r="B72" s="22"/>
      <x:c r="C72" s="22"/>
      <x:c r="D72" s="22"/>
      <x:c r="E72" s="22"/>
      <x:c r="F72" s="22"/>
      <x:c r="G72" s="22"/>
      <x:c r="H72" s="22"/>
    </x:row>
    <x:row r="73">
      <x:c r="B73" s="22"/>
      <x:c r="C73" s="22"/>
      <x:c r="D73" s="22"/>
      <x:c r="E73" s="22"/>
      <x:c r="F73" s="22"/>
      <x:c r="G73" s="22"/>
      <x:c r="H73" s="22"/>
    </x:row>
    <x:row r="74">
      <x:c r="B74" s="22"/>
      <x:c r="C74" s="22"/>
      <x:c r="D74" s="22"/>
      <x:c r="E74" s="22"/>
      <x:c r="F74" s="22"/>
      <x:c r="G74" s="22"/>
      <x:c r="H74" s="22"/>
    </x:row>
    <x:row r="75">
      <x:c r="B75" s="22"/>
      <x:c r="C75" s="22"/>
      <x:c r="D75" s="22"/>
      <x:c r="E75" s="22"/>
      <x:c r="F75" s="22"/>
      <x:c r="G75" s="22"/>
      <x:c r="H75" s="22"/>
    </x:row>
    <x:row r="76">
      <x:c r="B76" s="22"/>
      <x:c r="C76" s="22"/>
      <x:c r="D76" s="22"/>
      <x:c r="E76" s="22"/>
      <x:c r="F76" s="22"/>
      <x:c r="G76" s="22"/>
      <x:c r="H76" s="22"/>
    </x:row>
    <x:row r="77">
      <x:c r="B77" s="22"/>
      <x:c r="C77" s="22"/>
      <x:c r="D77" s="22"/>
      <x:c r="E77" s="22"/>
      <x:c r="F77" s="22"/>
      <x:c r="G77" s="22"/>
      <x:c r="H77" s="22"/>
    </x:row>
    <x:row r="78">
      <x:c r="B78" s="22"/>
      <x:c r="C78" s="22"/>
      <x:c r="D78" s="22"/>
      <x:c r="E78" s="22"/>
      <x:c r="F78" s="22"/>
      <x:c r="G78" s="22"/>
      <x:c r="H78" s="22"/>
    </x:row>
    <x:row r="79">
      <x:c r="B79" s="22"/>
      <x:c r="C79" s="22"/>
      <x:c r="D79" s="22"/>
      <x:c r="E79" s="22"/>
      <x:c r="F79" s="22"/>
      <x:c r="G79" s="22"/>
      <x:c r="H79" s="22"/>
    </x:row>
    <x:row r="80">
      <x:c r="B80" s="22"/>
      <x:c r="C80" s="22"/>
      <x:c r="D80" s="22"/>
      <x:c r="E80" s="22"/>
      <x:c r="F80" s="22"/>
      <x:c r="G80" s="22"/>
      <x:c r="H80" s="22"/>
    </x:row>
    <x:row r="81">
      <x:c r="B81" s="22"/>
      <x:c r="C81" s="22"/>
      <x:c r="D81" s="22"/>
      <x:c r="E81" s="22"/>
      <x:c r="F81" s="22"/>
      <x:c r="G81" s="22"/>
      <x:c r="H81" s="22"/>
    </x:row>
    <x:row r="82">
      <x:c r="B82" s="22"/>
      <x:c r="C82" s="22"/>
      <x:c r="D82" s="22"/>
      <x:c r="E82" s="22"/>
      <x:c r="F82" s="22"/>
      <x:c r="G82" s="22"/>
      <x:c r="H82" s="22"/>
    </x:row>
    <x:row r="83">
      <x:c r="B83" s="22"/>
      <x:c r="C83" s="22"/>
      <x:c r="D83" s="22"/>
      <x:c r="E83" s="22"/>
      <x:c r="F83" s="22"/>
      <x:c r="G83" s="22"/>
      <x:c r="H83" s="22"/>
    </x:row>
    <x:row r="84">
      <x:c r="B84" s="22"/>
      <x:c r="C84" s="22"/>
      <x:c r="D84" s="22"/>
      <x:c r="E84" s="22"/>
      <x:c r="F84" s="22"/>
      <x:c r="G84" s="22"/>
      <x:c r="H84" s="22"/>
    </x:row>
    <x:row r="85">
      <x:c r="B85" s="22"/>
      <x:c r="C85" s="22"/>
      <x:c r="D85" s="22"/>
      <x:c r="E85" s="22"/>
      <x:c r="F85" s="22"/>
      <x:c r="G85" s="22"/>
      <x:c r="H85" s="22"/>
    </x:row>
    <x:row r="86">
      <x:c r="B86" s="22"/>
      <x:c r="C86" s="22"/>
      <x:c r="D86" s="22"/>
      <x:c r="E86" s="22"/>
      <x:c r="F86" s="22"/>
      <x:c r="G86" s="22"/>
      <x:c r="H86" s="22"/>
    </x:row>
    <x:row r="87">
      <x:c r="B87" s="22"/>
      <x:c r="C87" s="22"/>
      <x:c r="D87" s="22"/>
      <x:c r="E87" s="22"/>
      <x:c r="F87" s="22"/>
      <x:c r="G87" s="22"/>
      <x:c r="H87" s="22"/>
    </x:row>
    <x:row r="88">
      <x:c r="B88" s="22"/>
      <x:c r="C88" s="22"/>
      <x:c r="D88" s="22"/>
      <x:c r="E88" s="22"/>
      <x:c r="F88" s="22"/>
      <x:c r="G88" s="22"/>
      <x:c r="H88" s="22"/>
    </x:row>
    <x:row r="89">
      <x:c r="B89" s="22"/>
      <x:c r="C89" s="22"/>
      <x:c r="D89" s="22"/>
      <x:c r="E89" s="22"/>
      <x:c r="F89" s="22"/>
      <x:c r="G89" s="22"/>
      <x:c r="H89" s="22"/>
    </x:row>
    <x:row r="90">
      <x:c r="B90" s="22"/>
      <x:c r="C90" s="22"/>
      <x:c r="D90" s="22"/>
      <x:c r="E90" s="22"/>
      <x:c r="F90" s="22"/>
      <x:c r="G90" s="22"/>
      <x:c r="H90" s="22"/>
    </x:row>
    <x:row r="91">
      <x:c r="B91" s="22"/>
      <x:c r="C91" s="22"/>
      <x:c r="D91" s="22"/>
      <x:c r="E91" s="22"/>
      <x:c r="F91" s="22"/>
      <x:c r="G91" s="22"/>
      <x:c r="H91" s="22"/>
    </x:row>
    <x:row r="92">
      <x:c r="B92" s="22"/>
      <x:c r="C92" s="22"/>
      <x:c r="D92" s="22"/>
      <x:c r="E92" s="22"/>
      <x:c r="F92" s="22"/>
      <x:c r="G92" s="22"/>
      <x:c r="H92" s="22"/>
    </x:row>
    <x:row r="93">
      <x:c r="B93" s="22"/>
      <x:c r="C93" s="22"/>
      <x:c r="D93" s="22"/>
      <x:c r="E93" s="22"/>
      <x:c r="F93" s="22"/>
      <x:c r="G93" s="22"/>
      <x:c r="H93" s="22"/>
    </x:row>
    <x:row r="94">
      <x:c r="B94" s="22"/>
      <x:c r="C94" s="22"/>
      <x:c r="D94" s="22"/>
      <x:c r="E94" s="22"/>
      <x:c r="F94" s="22"/>
      <x:c r="G94" s="22"/>
      <x:c r="H94" s="22"/>
    </x:row>
    <x:row r="95">
      <x:c r="B95" s="22"/>
      <x:c r="C95" s="22"/>
      <x:c r="D95" s="22"/>
      <x:c r="E95" s="22"/>
      <x:c r="F95" s="22"/>
      <x:c r="G95" s="22"/>
      <x:c r="H95" s="22"/>
    </x:row>
    <x:row r="96">
      <x:c r="B96" s="22"/>
      <x:c r="C96" s="22"/>
      <x:c r="D96" s="22"/>
      <x:c r="E96" s="22"/>
      <x:c r="F96" s="22"/>
      <x:c r="G96" s="22"/>
      <x:c r="H96" s="22"/>
    </x:row>
    <x:row r="97">
      <x:c r="B97" s="22"/>
      <x:c r="C97" s="22"/>
      <x:c r="D97" s="22"/>
      <x:c r="E97" s="22"/>
      <x:c r="F97" s="22"/>
      <x:c r="G97" s="22"/>
      <x:c r="H97" s="22"/>
    </x:row>
    <x:row r="98">
      <x:c r="B98" s="22"/>
      <x:c r="C98" s="22"/>
      <x:c r="D98" s="22"/>
      <x:c r="E98" s="22"/>
      <x:c r="F98" s="22"/>
      <x:c r="G98" s="22"/>
      <x:c r="H98" s="22"/>
    </x:row>
    <x:row r="99">
      <x:c r="B99" s="22"/>
      <x:c r="C99" s="22"/>
      <x:c r="D99" s="22"/>
      <x:c r="E99" s="22"/>
      <x:c r="F99" s="22"/>
      <x:c r="G99" s="22"/>
      <x:c r="H99" s="22"/>
    </x:row>
    <x:row r="100">
      <x:c r="B100" s="22"/>
      <x:c r="C100" s="22"/>
      <x:c r="D100" s="22"/>
      <x:c r="E100" s="22"/>
      <x:c r="F100" s="22"/>
      <x:c r="G100" s="22"/>
      <x:c r="H100" s="22"/>
    </x:row>
  </x:sheetData>
  <x:mergeCells>
    <x:mergeCell ref="A1:W1"/>
    <x:mergeCell ref="A2:W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2" hidden="0" customWidth="1"/>
    <x:col min="4" max="4" width="2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3" hidden="0" customWidth="1"/>
    <x:col min="10" max="10" width="30" hidden="0" customWidth="1"/>
    <x:col min="11" max="11" width="16" hidden="0" customWidth="1"/>
    <x:col min="12" max="12" width="16" hidden="0" customWidth="1"/>
    <x:col min="13" max="13" width="10" hidden="0" customWidth="1"/>
    <x:col min="14" max="14" width="12" hidden="0" customWidth="1"/>
    <x:col min="15" max="15" width="12" hidden="0" customWidth="1"/>
    <x:col min="16" max="16" width="14" hidden="0" customWidth="1"/>
    <x:col min="17" max="17" width="12" hidden="0" customWidth="1"/>
    <x:col min="18" max="18" width="14" hidden="0" customWidth="1"/>
    <x:col min="19" max="19" width="13" hidden="0" customWidth="1"/>
    <x:col min="20" max="20" width="34" hidden="0" customWidth="1"/>
    <x:col min="21" max="21" width="22" hidden="0" customWidth="1"/>
    <x:col min="22" max="22" width="18" hidden="0" customWidth="1"/>
  </x:cols>
  <x:sheetData>
    <x:row r="1" ht="26" customHeight="1">
      <x:c r="A1" s="3" t="str">
        <x:v>SỔ GIAO DỊCH CHI TIẾT</x:v>
      </x:c>
    </x:row>
    <x:row r="2" ht="28" customHeight="1">
      <x:c r="A2" s="8" t="str">
        <x:v>TRANSFER, GOAL_ALLOCATION và INVESTMENT_BUY không được tính là chi phí sinh hoạt.</x:v>
      </x:c>
    </x:row>
    <x:row r="4" ht="30" customHeight="1">
      <x:c r="A4" s="16" t="str">
        <x:v>Transaction_ID</x:v>
      </x:c>
      <x:c r="B4" s="16" t="str">
        <x:v>Ngày</x:v>
      </x:c>
      <x:c r="C4" s="16" t="str">
        <x:v>Trạng thái</x:v>
      </x:c>
      <x:c r="D4" s="16" t="str">
        <x:v>Loại</x:v>
      </x:c>
      <x:c r="E4" s="16" t="str">
        <x:v>Người nhập</x:v>
      </x:c>
      <x:c r="F4" s="16" t="str">
        <x:v>Privacy_Tag</x:v>
      </x:c>
      <x:c r="G4" s="16" t="str">
        <x:v>TK nguồn</x:v>
      </x:c>
      <x:c r="H4" s="16" t="str">
        <x:v>TK đích</x:v>
      </x:c>
      <x:c r="I4" s="16" t="str">
        <x:v>Category_ID</x:v>
      </x:c>
      <x:c r="J4" s="16" t="str">
        <x:v>Mô tả</x:v>
      </x:c>
      <x:c r="K4" s="16" t="str">
        <x:v>Số tiền nguyên tệ</x:v>
      </x:c>
      <x:c r="L4" s="16" t="str">
        <x:v>Số tiền VND</x:v>
      </x:c>
      <x:c r="M4" s="16" t="str">
        <x:v>Tiền tệ</x:v>
      </x:c>
      <x:c r="N4" s="16" t="str">
        <x:v>Tỷ giá</x:v>
      </x:c>
      <x:c r="O4" s="16" t="str">
        <x:v>Goal_ID</x:v>
      </x:c>
      <x:c r="P4" s="16" t="str">
        <x:v>Investment_ID</x:v>
      </x:c>
      <x:c r="Q4" s="16" t="str">
        <x:v>Debt_ID</x:v>
      </x:c>
      <x:c r="R4" s="16" t="str">
        <x:v>Recurring_ID</x:v>
      </x:c>
      <x:c r="S4" s="16" t="str">
        <x:v>Nguồn</x:v>
      </x:c>
      <x:c r="T4" s="16" t="str">
        <x:v>Drive URL</x:v>
      </x:c>
      <x:c r="U4" s="16" t="str">
        <x:v>Idempotency_Key</x:v>
      </x:c>
      <x:c r="V4" s="16" t="str">
        <x:v>Created_At</x:v>
      </x:c>
    </x:row>
    <x:row r="5">
      <x:c r="A5" s="22"/>
      <x:c r="B5" s="28"/>
      <x:c r="C5" s="22"/>
      <x:c r="D5" s="22"/>
      <x:c r="E5" s="22"/>
      <x:c r="F5" s="22"/>
      <x:c r="G5" s="22"/>
      <x:c r="H5" s="22"/>
      <x:c r="I5" s="22"/>
      <x:c r="J5" s="22"/>
      <x:c r="K5" s="24"/>
      <x:c r="L5" s="36" t="str">
        <x:f>IF(K5="","",K5*IF(M5="USD",N5,1))</x:f>
      </x:c>
      <x:c r="M5" s="22"/>
      <x:c r="N5" s="36" t="n">
        <x:f>IF(M5="USD",Settings!$B$7,1)</x:f>
        <x:v>1</x:v>
      </x:c>
      <x:c r="O5" s="22"/>
      <x:c r="P5" s="22"/>
      <x:c r="Q5" s="22"/>
      <x:c r="R5" s="22"/>
      <x:c r="S5" s="22"/>
      <x:c r="T5" s="22"/>
      <x:c r="U5" s="22"/>
      <x:c r="V5" s="22"/>
    </x:row>
    <x:row r="6">
      <x:c r="A6" s="22"/>
      <x:c r="B6" s="28"/>
      <x:c r="C6" s="22"/>
      <x:c r="D6" s="22"/>
      <x:c r="E6" s="22"/>
      <x:c r="F6" s="22"/>
      <x:c r="G6" s="22"/>
      <x:c r="H6" s="22"/>
      <x:c r="I6" s="22"/>
      <x:c r="J6" s="22"/>
      <x:c r="K6" s="24"/>
      <x:c r="L6" s="36" t="str">
        <x:f>IF(K6="","",K6*IF(M6="USD",N6,1))</x:f>
      </x:c>
      <x:c r="M6" s="22"/>
      <x:c r="N6" s="36" t="n">
        <x:f>IF(M6="USD",Settings!$B$7,1)</x:f>
        <x:v>1</x:v>
      </x:c>
      <x:c r="O6" s="22"/>
      <x:c r="P6" s="22"/>
      <x:c r="Q6" s="22"/>
      <x:c r="R6" s="22"/>
      <x:c r="S6" s="22"/>
      <x:c r="T6" s="22"/>
      <x:c r="U6" s="22"/>
      <x:c r="V6" s="22"/>
    </x:row>
    <x:row r="7">
      <x:c r="A7" s="22"/>
      <x:c r="B7" s="28"/>
      <x:c r="C7" s="22"/>
      <x:c r="D7" s="22"/>
      <x:c r="E7" s="22"/>
      <x:c r="F7" s="22"/>
      <x:c r="G7" s="22"/>
      <x:c r="H7" s="22"/>
      <x:c r="I7" s="22"/>
      <x:c r="J7" s="22"/>
      <x:c r="K7" s="24"/>
      <x:c r="L7" s="36" t="str">
        <x:f>IF(K7="","",K7*IF(M7="USD",N7,1))</x:f>
      </x:c>
      <x:c r="M7" s="22"/>
      <x:c r="N7" s="36" t="n">
        <x:f>IF(M7="USD",Settings!$B$7,1)</x:f>
        <x:v>1</x:v>
      </x:c>
      <x:c r="O7" s="22"/>
      <x:c r="P7" s="22"/>
      <x:c r="Q7" s="22"/>
      <x:c r="R7" s="22"/>
      <x:c r="S7" s="22"/>
      <x:c r="T7" s="22"/>
      <x:c r="U7" s="22"/>
      <x:c r="V7" s="22"/>
    </x:row>
    <x:row r="8">
      <x:c r="A8" s="22"/>
      <x:c r="B8" s="28"/>
      <x:c r="C8" s="22"/>
      <x:c r="D8" s="22"/>
      <x:c r="E8" s="22"/>
      <x:c r="F8" s="22"/>
      <x:c r="G8" s="22"/>
      <x:c r="H8" s="22"/>
      <x:c r="I8" s="22"/>
      <x:c r="J8" s="22"/>
      <x:c r="K8" s="24"/>
      <x:c r="L8" s="36" t="str">
        <x:f>IF(K8="","",K8*IF(M8="USD",N8,1))</x:f>
      </x:c>
      <x:c r="M8" s="22"/>
      <x:c r="N8" s="36" t="n">
        <x:f>IF(M8="USD",Settings!$B$7,1)</x:f>
        <x:v>1</x:v>
      </x:c>
      <x:c r="O8" s="22"/>
      <x:c r="P8" s="22"/>
      <x:c r="Q8" s="22"/>
      <x:c r="R8" s="22"/>
      <x:c r="S8" s="22"/>
      <x:c r="T8" s="22"/>
      <x:c r="U8" s="22"/>
      <x:c r="V8" s="22"/>
    </x:row>
    <x:row r="9">
      <x:c r="A9" s="22"/>
      <x:c r="B9" s="28"/>
      <x:c r="C9" s="22"/>
      <x:c r="D9" s="22"/>
      <x:c r="E9" s="22"/>
      <x:c r="F9" s="22"/>
      <x:c r="G9" s="22"/>
      <x:c r="H9" s="22"/>
      <x:c r="I9" s="22"/>
      <x:c r="J9" s="22"/>
      <x:c r="K9" s="24"/>
      <x:c r="L9" s="36" t="str">
        <x:f>IF(K9="","",K9*IF(M9="USD",N9,1))</x:f>
      </x:c>
      <x:c r="M9" s="22"/>
      <x:c r="N9" s="36" t="n">
        <x:f>IF(M9="USD",Settings!$B$7,1)</x:f>
        <x:v>1</x:v>
      </x:c>
      <x:c r="O9" s="22"/>
      <x:c r="P9" s="22"/>
      <x:c r="Q9" s="22"/>
      <x:c r="R9" s="22"/>
      <x:c r="S9" s="22"/>
      <x:c r="T9" s="22"/>
      <x:c r="U9" s="22"/>
      <x:c r="V9" s="22"/>
    </x:row>
    <x:row r="10">
      <x:c r="A10" s="22"/>
      <x:c r="B10" s="28"/>
      <x:c r="C10" s="22"/>
      <x:c r="D10" s="22"/>
      <x:c r="E10" s="22"/>
      <x:c r="F10" s="22"/>
      <x:c r="G10" s="22"/>
      <x:c r="H10" s="22"/>
      <x:c r="I10" s="22"/>
      <x:c r="J10" s="22"/>
      <x:c r="K10" s="24"/>
      <x:c r="L10" s="36" t="str">
        <x:f>IF(K10="","",K10*IF(M10="USD",N10,1))</x:f>
      </x:c>
      <x:c r="M10" s="22"/>
      <x:c r="N10" s="36" t="n">
        <x:f>IF(M10="USD",Settings!$B$7,1)</x:f>
        <x:v>1</x:v>
      </x:c>
      <x:c r="O10" s="22"/>
      <x:c r="P10" s="22"/>
      <x:c r="Q10" s="22"/>
      <x:c r="R10" s="22"/>
      <x:c r="S10" s="22"/>
      <x:c r="T10" s="22"/>
      <x:c r="U10" s="22"/>
      <x:c r="V10" s="22"/>
    </x:row>
    <x:row r="11">
      <x:c r="A11" s="22"/>
      <x:c r="B11" s="28"/>
      <x:c r="C11" s="22"/>
      <x:c r="D11" s="22"/>
      <x:c r="E11" s="22"/>
      <x:c r="F11" s="22"/>
      <x:c r="G11" s="22"/>
      <x:c r="H11" s="22"/>
      <x:c r="I11" s="22"/>
      <x:c r="J11" s="22"/>
      <x:c r="K11" s="24"/>
      <x:c r="L11" s="36" t="str">
        <x:f>IF(K11="","",K11*IF(M11="USD",N11,1))</x:f>
      </x:c>
      <x:c r="M11" s="22"/>
      <x:c r="N11" s="36" t="n">
        <x:f>IF(M11="USD",Settings!$B$7,1)</x:f>
        <x:v>1</x:v>
      </x:c>
      <x:c r="O11" s="22"/>
      <x:c r="P11" s="22"/>
      <x:c r="Q11" s="22"/>
      <x:c r="R11" s="22"/>
      <x:c r="S11" s="22"/>
      <x:c r="T11" s="22"/>
      <x:c r="U11" s="22"/>
      <x:c r="V11" s="22"/>
    </x:row>
    <x:row r="12">
      <x:c r="A12" s="22"/>
      <x:c r="B12" s="28"/>
      <x:c r="C12" s="22"/>
      <x:c r="D12" s="22"/>
      <x:c r="E12" s="22"/>
      <x:c r="F12" s="22"/>
      <x:c r="G12" s="22"/>
      <x:c r="H12" s="22"/>
      <x:c r="I12" s="22"/>
      <x:c r="J12" s="22"/>
      <x:c r="K12" s="24"/>
      <x:c r="L12" s="36" t="str">
        <x:f>IF(K12="","",K12*IF(M12="USD",N12,1))</x:f>
      </x:c>
      <x:c r="M12" s="22"/>
      <x:c r="N12" s="36" t="n">
        <x:f>IF(M12="USD",Settings!$B$7,1)</x:f>
        <x:v>1</x:v>
      </x:c>
      <x:c r="O12" s="22"/>
      <x:c r="P12" s="22"/>
      <x:c r="Q12" s="22"/>
      <x:c r="R12" s="22"/>
      <x:c r="S12" s="22"/>
      <x:c r="T12" s="22"/>
      <x:c r="U12" s="22"/>
      <x:c r="V12" s="22"/>
    </x:row>
    <x:row r="13">
      <x:c r="A13" s="22"/>
      <x:c r="B13" s="28"/>
      <x:c r="C13" s="22"/>
      <x:c r="D13" s="22"/>
      <x:c r="E13" s="22"/>
      <x:c r="F13" s="22"/>
      <x:c r="G13" s="22"/>
      <x:c r="H13" s="22"/>
      <x:c r="I13" s="22"/>
      <x:c r="J13" s="22"/>
      <x:c r="K13" s="24"/>
      <x:c r="L13" s="36" t="str">
        <x:f>IF(K13="","",K13*IF(M13="USD",N13,1))</x:f>
      </x:c>
      <x:c r="M13" s="22"/>
      <x:c r="N13" s="36" t="n">
        <x:f>IF(M13="USD",Settings!$B$7,1)</x:f>
        <x:v>1</x:v>
      </x:c>
      <x:c r="O13" s="22"/>
      <x:c r="P13" s="22"/>
      <x:c r="Q13" s="22"/>
      <x:c r="R13" s="22"/>
      <x:c r="S13" s="22"/>
      <x:c r="T13" s="22"/>
      <x:c r="U13" s="22"/>
      <x:c r="V13" s="22"/>
    </x:row>
    <x:row r="14">
      <x:c r="A14" s="22"/>
      <x:c r="B14" s="28"/>
      <x:c r="C14" s="22"/>
      <x:c r="D14" s="22"/>
      <x:c r="E14" s="22"/>
      <x:c r="F14" s="22"/>
      <x:c r="G14" s="22"/>
      <x:c r="H14" s="22"/>
      <x:c r="I14" s="22"/>
      <x:c r="J14" s="22"/>
      <x:c r="K14" s="24"/>
      <x:c r="L14" s="36" t="str">
        <x:f>IF(K14="","",K14*IF(M14="USD",N14,1))</x:f>
      </x:c>
      <x:c r="M14" s="22"/>
      <x:c r="N14" s="36" t="n">
        <x:f>IF(M14="USD",Settings!$B$7,1)</x:f>
        <x:v>1</x:v>
      </x:c>
      <x:c r="O14" s="22"/>
      <x:c r="P14" s="22"/>
      <x:c r="Q14" s="22"/>
      <x:c r="R14" s="22"/>
      <x:c r="S14" s="22"/>
      <x:c r="T14" s="22"/>
      <x:c r="U14" s="22"/>
      <x:c r="V14" s="22"/>
    </x:row>
    <x:row r="15">
      <x:c r="A15" s="22"/>
      <x:c r="B15" s="28"/>
      <x:c r="C15" s="22"/>
      <x:c r="D15" s="22"/>
      <x:c r="E15" s="22"/>
      <x:c r="F15" s="22"/>
      <x:c r="G15" s="22"/>
      <x:c r="H15" s="22"/>
      <x:c r="I15" s="22"/>
      <x:c r="J15" s="22"/>
      <x:c r="K15" s="24"/>
      <x:c r="L15" s="36" t="str">
        <x:f>IF(K15="","",K15*IF(M15="USD",N15,1))</x:f>
      </x:c>
      <x:c r="M15" s="22"/>
      <x:c r="N15" s="36" t="n">
        <x:f>IF(M15="USD",Settings!$B$7,1)</x:f>
        <x:v>1</x:v>
      </x:c>
      <x:c r="O15" s="22"/>
      <x:c r="P15" s="22"/>
      <x:c r="Q15" s="22"/>
      <x:c r="R15" s="22"/>
      <x:c r="S15" s="22"/>
      <x:c r="T15" s="22"/>
      <x:c r="U15" s="22"/>
      <x:c r="V15" s="22"/>
    </x:row>
    <x:row r="16">
      <x:c r="A16" s="22"/>
      <x:c r="B16" s="28"/>
      <x:c r="C16" s="22"/>
      <x:c r="D16" s="22"/>
      <x:c r="E16" s="22"/>
      <x:c r="F16" s="22"/>
      <x:c r="G16" s="22"/>
      <x:c r="H16" s="22"/>
      <x:c r="I16" s="22"/>
      <x:c r="J16" s="22"/>
      <x:c r="K16" s="24"/>
      <x:c r="L16" s="36" t="str">
        <x:f>IF(K16="","",K16*IF(M16="USD",N16,1))</x:f>
      </x:c>
      <x:c r="M16" s="22"/>
      <x:c r="N16" s="36" t="n">
        <x:f>IF(M16="USD",Settings!$B$7,1)</x:f>
        <x:v>1</x:v>
      </x:c>
      <x:c r="O16" s="22"/>
      <x:c r="P16" s="22"/>
      <x:c r="Q16" s="22"/>
      <x:c r="R16" s="22"/>
      <x:c r="S16" s="22"/>
      <x:c r="T16" s="22"/>
      <x:c r="U16" s="22"/>
      <x:c r="V16" s="22"/>
    </x:row>
    <x:row r="17">
      <x:c r="A17" s="22"/>
      <x:c r="B17" s="28"/>
      <x:c r="C17" s="22"/>
      <x:c r="D17" s="22"/>
      <x:c r="E17" s="22"/>
      <x:c r="F17" s="22"/>
      <x:c r="G17" s="22"/>
      <x:c r="H17" s="22"/>
      <x:c r="I17" s="22"/>
      <x:c r="J17" s="22"/>
      <x:c r="K17" s="24"/>
      <x:c r="L17" s="36" t="str">
        <x:f>IF(K17="","",K17*IF(M17="USD",N17,1))</x:f>
      </x:c>
      <x:c r="M17" s="22"/>
      <x:c r="N17" s="36" t="n">
        <x:f>IF(M17="USD",Settings!$B$7,1)</x:f>
        <x:v>1</x:v>
      </x:c>
      <x:c r="O17" s="22"/>
      <x:c r="P17" s="22"/>
      <x:c r="Q17" s="22"/>
      <x:c r="R17" s="22"/>
      <x:c r="S17" s="22"/>
      <x:c r="T17" s="22"/>
      <x:c r="U17" s="22"/>
      <x:c r="V17" s="22"/>
    </x:row>
    <x:row r="18">
      <x:c r="A18" s="22"/>
      <x:c r="B18" s="28"/>
      <x:c r="C18" s="22"/>
      <x:c r="D18" s="22"/>
      <x:c r="E18" s="22"/>
      <x:c r="F18" s="22"/>
      <x:c r="G18" s="22"/>
      <x:c r="H18" s="22"/>
      <x:c r="I18" s="22"/>
      <x:c r="J18" s="22"/>
      <x:c r="K18" s="24"/>
      <x:c r="L18" s="36" t="str">
        <x:f>IF(K18="","",K18*IF(M18="USD",N18,1))</x:f>
      </x:c>
      <x:c r="M18" s="22"/>
      <x:c r="N18" s="36" t="n">
        <x:f>IF(M18="USD",Settings!$B$7,1)</x:f>
        <x:v>1</x:v>
      </x:c>
      <x:c r="O18" s="22"/>
      <x:c r="P18" s="22"/>
      <x:c r="Q18" s="22"/>
      <x:c r="R18" s="22"/>
      <x:c r="S18" s="22"/>
      <x:c r="T18" s="22"/>
      <x:c r="U18" s="22"/>
      <x:c r="V18" s="22"/>
    </x:row>
    <x:row r="19">
      <x:c r="A19" s="22"/>
      <x:c r="B19" s="28"/>
      <x:c r="C19" s="22"/>
      <x:c r="D19" s="22"/>
      <x:c r="E19" s="22"/>
      <x:c r="F19" s="22"/>
      <x:c r="G19" s="22"/>
      <x:c r="H19" s="22"/>
      <x:c r="I19" s="22"/>
      <x:c r="J19" s="22"/>
      <x:c r="K19" s="24"/>
      <x:c r="L19" s="36" t="str">
        <x:f>IF(K19="","",K19*IF(M19="USD",N19,1))</x:f>
      </x:c>
      <x:c r="M19" s="22"/>
      <x:c r="N19" s="36" t="n">
        <x:f>IF(M19="USD",Settings!$B$7,1)</x:f>
        <x:v>1</x:v>
      </x:c>
      <x:c r="O19" s="22"/>
      <x:c r="P19" s="22"/>
      <x:c r="Q19" s="22"/>
      <x:c r="R19" s="22"/>
      <x:c r="S19" s="22"/>
      <x:c r="T19" s="22"/>
      <x:c r="U19" s="22"/>
      <x:c r="V19" s="22"/>
    </x:row>
    <x:row r="20">
      <x:c r="A20" s="22"/>
      <x:c r="B20" s="28"/>
      <x:c r="C20" s="22"/>
      <x:c r="D20" s="22"/>
      <x:c r="E20" s="22"/>
      <x:c r="F20" s="22"/>
      <x:c r="G20" s="22"/>
      <x:c r="H20" s="22"/>
      <x:c r="I20" s="22"/>
      <x:c r="J20" s="22"/>
      <x:c r="K20" s="24"/>
      <x:c r="L20" s="36" t="str">
        <x:f>IF(K20="","",K20*IF(M20="USD",N20,1))</x:f>
      </x:c>
      <x:c r="M20" s="22"/>
      <x:c r="N20" s="36" t="n">
        <x:f>IF(M20="USD",Settings!$B$7,1)</x:f>
        <x:v>1</x:v>
      </x:c>
      <x:c r="O20" s="22"/>
      <x:c r="P20" s="22"/>
      <x:c r="Q20" s="22"/>
      <x:c r="R20" s="22"/>
      <x:c r="S20" s="22"/>
      <x:c r="T20" s="22"/>
      <x:c r="U20" s="22"/>
      <x:c r="V20" s="22"/>
    </x:row>
    <x:row r="21">
      <x:c r="A21" s="22"/>
      <x:c r="B21" s="28"/>
      <x:c r="C21" s="22"/>
      <x:c r="D21" s="22"/>
      <x:c r="E21" s="22"/>
      <x:c r="F21" s="22"/>
      <x:c r="G21" s="22"/>
      <x:c r="H21" s="22"/>
      <x:c r="I21" s="22"/>
      <x:c r="J21" s="22"/>
      <x:c r="K21" s="24"/>
      <x:c r="L21" s="36" t="str">
        <x:f>IF(K21="","",K21*IF(M21="USD",N21,1))</x:f>
      </x:c>
      <x:c r="M21" s="22"/>
      <x:c r="N21" s="36" t="n">
        <x:f>IF(M21="USD",Settings!$B$7,1)</x:f>
        <x:v>1</x:v>
      </x:c>
      <x:c r="O21" s="22"/>
      <x:c r="P21" s="22"/>
      <x:c r="Q21" s="22"/>
      <x:c r="R21" s="22"/>
      <x:c r="S21" s="22"/>
      <x:c r="T21" s="22"/>
      <x:c r="U21" s="22"/>
      <x:c r="V21" s="22"/>
    </x:row>
    <x:row r="22">
      <x:c r="A22" s="22"/>
      <x:c r="B22" s="28"/>
      <x:c r="C22" s="22"/>
      <x:c r="D22" s="22"/>
      <x:c r="E22" s="22"/>
      <x:c r="F22" s="22"/>
      <x:c r="G22" s="22"/>
      <x:c r="H22" s="22"/>
      <x:c r="I22" s="22"/>
      <x:c r="J22" s="22"/>
      <x:c r="K22" s="24"/>
      <x:c r="L22" s="36" t="str">
        <x:f>IF(K22="","",K22*IF(M22="USD",N22,1))</x:f>
      </x:c>
      <x:c r="M22" s="22"/>
      <x:c r="N22" s="36" t="n">
        <x:f>IF(M22="USD",Settings!$B$7,1)</x:f>
        <x:v>1</x:v>
      </x:c>
      <x:c r="O22" s="22"/>
      <x:c r="P22" s="22"/>
      <x:c r="Q22" s="22"/>
      <x:c r="R22" s="22"/>
      <x:c r="S22" s="22"/>
      <x:c r="T22" s="22"/>
      <x:c r="U22" s="22"/>
      <x:c r="V22" s="22"/>
    </x:row>
    <x:row r="23">
      <x:c r="A23" s="22"/>
      <x:c r="B23" s="28"/>
      <x:c r="C23" s="22"/>
      <x:c r="D23" s="22"/>
      <x:c r="E23" s="22"/>
      <x:c r="F23" s="22"/>
      <x:c r="G23" s="22"/>
      <x:c r="H23" s="22"/>
      <x:c r="I23" s="22"/>
      <x:c r="J23" s="22"/>
      <x:c r="K23" s="24"/>
      <x:c r="L23" s="36" t="str">
        <x:f>IF(K23="","",K23*IF(M23="USD",N23,1))</x:f>
      </x:c>
      <x:c r="M23" s="22"/>
      <x:c r="N23" s="36" t="n">
        <x:f>IF(M23="USD",Settings!$B$7,1)</x:f>
        <x:v>1</x:v>
      </x:c>
      <x:c r="O23" s="22"/>
      <x:c r="P23" s="22"/>
      <x:c r="Q23" s="22"/>
      <x:c r="R23" s="22"/>
      <x:c r="S23" s="22"/>
      <x:c r="T23" s="22"/>
      <x:c r="U23" s="22"/>
      <x:c r="V23" s="22"/>
    </x:row>
    <x:row r="24">
      <x:c r="A24" s="22"/>
      <x:c r="B24" s="28"/>
      <x:c r="C24" s="22"/>
      <x:c r="D24" s="22"/>
      <x:c r="E24" s="22"/>
      <x:c r="F24" s="22"/>
      <x:c r="G24" s="22"/>
      <x:c r="H24" s="22"/>
      <x:c r="I24" s="22"/>
      <x:c r="J24" s="22"/>
      <x:c r="K24" s="24"/>
      <x:c r="L24" s="36" t="str">
        <x:f>IF(K24="","",K24*IF(M24="USD",N24,1))</x:f>
      </x:c>
      <x:c r="M24" s="22"/>
      <x:c r="N24" s="36" t="n">
        <x:f>IF(M24="USD",Settings!$B$7,1)</x:f>
        <x:v>1</x:v>
      </x:c>
      <x:c r="O24" s="22"/>
      <x:c r="P24" s="22"/>
      <x:c r="Q24" s="22"/>
      <x:c r="R24" s="22"/>
      <x:c r="S24" s="22"/>
      <x:c r="T24" s="22"/>
      <x:c r="U24" s="22"/>
      <x:c r="V24" s="22"/>
    </x:row>
    <x:row r="25">
      <x:c r="A25" s="22"/>
      <x:c r="B25" s="28"/>
      <x:c r="C25" s="22"/>
      <x:c r="D25" s="22"/>
      <x:c r="E25" s="22"/>
      <x:c r="F25" s="22"/>
      <x:c r="G25" s="22"/>
      <x:c r="H25" s="22"/>
      <x:c r="I25" s="22"/>
      <x:c r="J25" s="22"/>
      <x:c r="K25" s="24"/>
      <x:c r="L25" s="36" t="str">
        <x:f>IF(K25="","",K25*IF(M25="USD",N25,1))</x:f>
      </x:c>
      <x:c r="M25" s="22"/>
      <x:c r="N25" s="36" t="n">
        <x:f>IF(M25="USD",Settings!$B$7,1)</x:f>
        <x:v>1</x:v>
      </x:c>
      <x:c r="O25" s="22"/>
      <x:c r="P25" s="22"/>
      <x:c r="Q25" s="22"/>
      <x:c r="R25" s="22"/>
      <x:c r="S25" s="22"/>
      <x:c r="T25" s="22"/>
      <x:c r="U25" s="22"/>
      <x:c r="V25" s="22"/>
    </x:row>
    <x:row r="26">
      <x:c r="A26" s="22"/>
      <x:c r="B26" s="28"/>
      <x:c r="C26" s="22"/>
      <x:c r="D26" s="22"/>
      <x:c r="E26" s="22"/>
      <x:c r="F26" s="22"/>
      <x:c r="G26" s="22"/>
      <x:c r="H26" s="22"/>
      <x:c r="I26" s="22"/>
      <x:c r="J26" s="22"/>
      <x:c r="K26" s="24"/>
      <x:c r="L26" s="36" t="str">
        <x:f>IF(K26="","",K26*IF(M26="USD",N26,1))</x:f>
      </x:c>
      <x:c r="M26" s="22"/>
      <x:c r="N26" s="36" t="n">
        <x:f>IF(M26="USD",Settings!$B$7,1)</x:f>
        <x:v>1</x:v>
      </x:c>
      <x:c r="O26" s="22"/>
      <x:c r="P26" s="22"/>
      <x:c r="Q26" s="22"/>
      <x:c r="R26" s="22"/>
      <x:c r="S26" s="22"/>
      <x:c r="T26" s="22"/>
      <x:c r="U26" s="22"/>
      <x:c r="V26" s="22"/>
    </x:row>
    <x:row r="27">
      <x:c r="A27" s="22"/>
      <x:c r="B27" s="28"/>
      <x:c r="C27" s="22"/>
      <x:c r="D27" s="22"/>
      <x:c r="E27" s="22"/>
      <x:c r="F27" s="22"/>
      <x:c r="G27" s="22"/>
      <x:c r="H27" s="22"/>
      <x:c r="I27" s="22"/>
      <x:c r="J27" s="22"/>
      <x:c r="K27" s="24"/>
      <x:c r="L27" s="36" t="str">
        <x:f>IF(K27="","",K27*IF(M27="USD",N27,1))</x:f>
      </x:c>
      <x:c r="M27" s="22"/>
      <x:c r="N27" s="36" t="n">
        <x:f>IF(M27="USD",Settings!$B$7,1)</x:f>
        <x:v>1</x:v>
      </x:c>
      <x:c r="O27" s="22"/>
      <x:c r="P27" s="22"/>
      <x:c r="Q27" s="22"/>
      <x:c r="R27" s="22"/>
      <x:c r="S27" s="22"/>
      <x:c r="T27" s="22"/>
      <x:c r="U27" s="22"/>
      <x:c r="V27" s="22"/>
    </x:row>
    <x:row r="28">
      <x:c r="A28" s="22"/>
      <x:c r="B28" s="28"/>
      <x:c r="C28" s="22"/>
      <x:c r="D28" s="22"/>
      <x:c r="E28" s="22"/>
      <x:c r="F28" s="22"/>
      <x:c r="G28" s="22"/>
      <x:c r="H28" s="22"/>
      <x:c r="I28" s="22"/>
      <x:c r="J28" s="22"/>
      <x:c r="K28" s="24"/>
      <x:c r="L28" s="36" t="str">
        <x:f>IF(K28="","",K28*IF(M28="USD",N28,1))</x:f>
      </x:c>
      <x:c r="M28" s="22"/>
      <x:c r="N28" s="36" t="n">
        <x:f>IF(M28="USD",Settings!$B$7,1)</x:f>
        <x:v>1</x:v>
      </x:c>
      <x:c r="O28" s="22"/>
      <x:c r="P28" s="22"/>
      <x:c r="Q28" s="22"/>
      <x:c r="R28" s="22"/>
      <x:c r="S28" s="22"/>
      <x:c r="T28" s="22"/>
      <x:c r="U28" s="22"/>
      <x:c r="V28" s="22"/>
    </x:row>
    <x:row r="29">
      <x:c r="A29" s="22"/>
      <x:c r="B29" s="28"/>
      <x:c r="C29" s="22"/>
      <x:c r="D29" s="22"/>
      <x:c r="E29" s="22"/>
      <x:c r="F29" s="22"/>
      <x:c r="G29" s="22"/>
      <x:c r="H29" s="22"/>
      <x:c r="I29" s="22"/>
      <x:c r="J29" s="22"/>
      <x:c r="K29" s="24"/>
      <x:c r="L29" s="36" t="str">
        <x:f>IF(K29="","",K29*IF(M29="USD",N29,1))</x:f>
      </x:c>
      <x:c r="M29" s="22"/>
      <x:c r="N29" s="36" t="n">
        <x:f>IF(M29="USD",Settings!$B$7,1)</x:f>
        <x:v>1</x:v>
      </x:c>
      <x:c r="O29" s="22"/>
      <x:c r="P29" s="22"/>
      <x:c r="Q29" s="22"/>
      <x:c r="R29" s="22"/>
      <x:c r="S29" s="22"/>
      <x:c r="T29" s="22"/>
      <x:c r="U29" s="22"/>
      <x:c r="V29" s="22"/>
    </x:row>
    <x:row r="30">
      <x:c r="A30" s="22"/>
      <x:c r="B30" s="28"/>
      <x:c r="C30" s="22"/>
      <x:c r="D30" s="22"/>
      <x:c r="E30" s="22"/>
      <x:c r="F30" s="22"/>
      <x:c r="G30" s="22"/>
      <x:c r="H30" s="22"/>
      <x:c r="I30" s="22"/>
      <x:c r="J30" s="22"/>
      <x:c r="K30" s="24"/>
      <x:c r="L30" s="36" t="str">
        <x:f>IF(K30="","",K30*IF(M30="USD",N30,1))</x:f>
      </x:c>
      <x:c r="M30" s="22"/>
      <x:c r="N30" s="36" t="n">
        <x:f>IF(M30="USD",Settings!$B$7,1)</x:f>
        <x:v>1</x:v>
      </x:c>
      <x:c r="O30" s="22"/>
      <x:c r="P30" s="22"/>
      <x:c r="Q30" s="22"/>
      <x:c r="R30" s="22"/>
      <x:c r="S30" s="22"/>
      <x:c r="T30" s="22"/>
      <x:c r="U30" s="22"/>
      <x:c r="V30" s="22"/>
    </x:row>
    <x:row r="31">
      <x:c r="A31" s="22"/>
      <x:c r="B31" s="28"/>
      <x:c r="C31" s="22"/>
      <x:c r="D31" s="22"/>
      <x:c r="E31" s="22"/>
      <x:c r="F31" s="22"/>
      <x:c r="G31" s="22"/>
      <x:c r="H31" s="22"/>
      <x:c r="I31" s="22"/>
      <x:c r="J31" s="22"/>
      <x:c r="K31" s="24"/>
      <x:c r="L31" s="36" t="str">
        <x:f>IF(K31="","",K31*IF(M31="USD",N31,1))</x:f>
      </x:c>
      <x:c r="M31" s="22"/>
      <x:c r="N31" s="36" t="n">
        <x:f>IF(M31="USD",Settings!$B$7,1)</x:f>
        <x:v>1</x:v>
      </x:c>
      <x:c r="O31" s="22"/>
      <x:c r="P31" s="22"/>
      <x:c r="Q31" s="22"/>
      <x:c r="R31" s="22"/>
      <x:c r="S31" s="22"/>
      <x:c r="T31" s="22"/>
      <x:c r="U31" s="22"/>
      <x:c r="V31" s="22"/>
    </x:row>
    <x:row r="32">
      <x:c r="A32" s="22"/>
      <x:c r="B32" s="28"/>
      <x:c r="C32" s="22"/>
      <x:c r="D32" s="22"/>
      <x:c r="E32" s="22"/>
      <x:c r="F32" s="22"/>
      <x:c r="G32" s="22"/>
      <x:c r="H32" s="22"/>
      <x:c r="I32" s="22"/>
      <x:c r="J32" s="22"/>
      <x:c r="K32" s="24"/>
      <x:c r="L32" s="36" t="str">
        <x:f>IF(K32="","",K32*IF(M32="USD",N32,1))</x:f>
      </x:c>
      <x:c r="M32" s="22"/>
      <x:c r="N32" s="36" t="n">
        <x:f>IF(M32="USD",Settings!$B$7,1)</x:f>
        <x:v>1</x:v>
      </x:c>
      <x:c r="O32" s="22"/>
      <x:c r="P32" s="22"/>
      <x:c r="Q32" s="22"/>
      <x:c r="R32" s="22"/>
      <x:c r="S32" s="22"/>
      <x:c r="T32" s="22"/>
      <x:c r="U32" s="22"/>
      <x:c r="V32" s="22"/>
    </x:row>
    <x:row r="33">
      <x:c r="A33" s="22"/>
      <x:c r="B33" s="28"/>
      <x:c r="C33" s="22"/>
      <x:c r="D33" s="22"/>
      <x:c r="E33" s="22"/>
      <x:c r="F33" s="22"/>
      <x:c r="G33" s="22"/>
      <x:c r="H33" s="22"/>
      <x:c r="I33" s="22"/>
      <x:c r="J33" s="22"/>
      <x:c r="K33" s="24"/>
      <x:c r="L33" s="36" t="str">
        <x:f>IF(K33="","",K33*IF(M33="USD",N33,1))</x:f>
      </x:c>
      <x:c r="M33" s="22"/>
      <x:c r="N33" s="36" t="n">
        <x:f>IF(M33="USD",Settings!$B$7,1)</x:f>
        <x:v>1</x:v>
      </x:c>
      <x:c r="O33" s="22"/>
      <x:c r="P33" s="22"/>
      <x:c r="Q33" s="22"/>
      <x:c r="R33" s="22"/>
      <x:c r="S33" s="22"/>
      <x:c r="T33" s="22"/>
      <x:c r="U33" s="22"/>
      <x:c r="V33" s="22"/>
    </x:row>
    <x:row r="34">
      <x:c r="A34" s="22"/>
      <x:c r="B34" s="28"/>
      <x:c r="C34" s="22"/>
      <x:c r="D34" s="22"/>
      <x:c r="E34" s="22"/>
      <x:c r="F34" s="22"/>
      <x:c r="G34" s="22"/>
      <x:c r="H34" s="22"/>
      <x:c r="I34" s="22"/>
      <x:c r="J34" s="22"/>
      <x:c r="K34" s="24"/>
      <x:c r="L34" s="36" t="str">
        <x:f>IF(K34="","",K34*IF(M34="USD",N34,1))</x:f>
      </x:c>
      <x:c r="M34" s="22"/>
      <x:c r="N34" s="36" t="n">
        <x:f>IF(M34="USD",Settings!$B$7,1)</x:f>
        <x:v>1</x:v>
      </x:c>
      <x:c r="O34" s="22"/>
      <x:c r="P34" s="22"/>
      <x:c r="Q34" s="22"/>
      <x:c r="R34" s="22"/>
      <x:c r="S34" s="22"/>
      <x:c r="T34" s="22"/>
      <x:c r="U34" s="22"/>
      <x:c r="V34" s="22"/>
    </x:row>
    <x:row r="35">
      <x:c r="A35" s="22"/>
      <x:c r="B35" s="28"/>
      <x:c r="C35" s="22"/>
      <x:c r="D35" s="22"/>
      <x:c r="E35" s="22"/>
      <x:c r="F35" s="22"/>
      <x:c r="G35" s="22"/>
      <x:c r="H35" s="22"/>
      <x:c r="I35" s="22"/>
      <x:c r="J35" s="22"/>
      <x:c r="K35" s="24"/>
      <x:c r="L35" s="36" t="str">
        <x:f>IF(K35="","",K35*IF(M35="USD",N35,1))</x:f>
      </x:c>
      <x:c r="M35" s="22"/>
      <x:c r="N35" s="36" t="n">
        <x:f>IF(M35="USD",Settings!$B$7,1)</x:f>
        <x:v>1</x:v>
      </x:c>
      <x:c r="O35" s="22"/>
      <x:c r="P35" s="22"/>
      <x:c r="Q35" s="22"/>
      <x:c r="R35" s="22"/>
      <x:c r="S35" s="22"/>
      <x:c r="T35" s="22"/>
      <x:c r="U35" s="22"/>
      <x:c r="V35" s="22"/>
    </x:row>
    <x:row r="36">
      <x:c r="A36" s="22"/>
      <x:c r="B36" s="28"/>
      <x:c r="C36" s="22"/>
      <x:c r="D36" s="22"/>
      <x:c r="E36" s="22"/>
      <x:c r="F36" s="22"/>
      <x:c r="G36" s="22"/>
      <x:c r="H36" s="22"/>
      <x:c r="I36" s="22"/>
      <x:c r="J36" s="22"/>
      <x:c r="K36" s="24"/>
      <x:c r="L36" s="36" t="str">
        <x:f>IF(K36="","",K36*IF(M36="USD",N36,1))</x:f>
      </x:c>
      <x:c r="M36" s="22"/>
      <x:c r="N36" s="36" t="n">
        <x:f>IF(M36="USD",Settings!$B$7,1)</x:f>
        <x:v>1</x:v>
      </x:c>
      <x:c r="O36" s="22"/>
      <x:c r="P36" s="22"/>
      <x:c r="Q36" s="22"/>
      <x:c r="R36" s="22"/>
      <x:c r="S36" s="22"/>
      <x:c r="T36" s="22"/>
      <x:c r="U36" s="22"/>
      <x:c r="V36" s="22"/>
    </x:row>
    <x:row r="37">
      <x:c r="A37" s="22"/>
      <x:c r="B37" s="28"/>
      <x:c r="C37" s="22"/>
      <x:c r="D37" s="22"/>
      <x:c r="E37" s="22"/>
      <x:c r="F37" s="22"/>
      <x:c r="G37" s="22"/>
      <x:c r="H37" s="22"/>
      <x:c r="I37" s="22"/>
      <x:c r="J37" s="22"/>
      <x:c r="K37" s="24"/>
      <x:c r="L37" s="36" t="str">
        <x:f>IF(K37="","",K37*IF(M37="USD",N37,1))</x:f>
      </x:c>
      <x:c r="M37" s="22"/>
      <x:c r="N37" s="36" t="n">
        <x:f>IF(M37="USD",Settings!$B$7,1)</x:f>
        <x:v>1</x:v>
      </x:c>
      <x:c r="O37" s="22"/>
      <x:c r="P37" s="22"/>
      <x:c r="Q37" s="22"/>
      <x:c r="R37" s="22"/>
      <x:c r="S37" s="22"/>
      <x:c r="T37" s="22"/>
      <x:c r="U37" s="22"/>
      <x:c r="V37" s="22"/>
    </x:row>
    <x:row r="38">
      <x:c r="A38" s="22"/>
      <x:c r="B38" s="28"/>
      <x:c r="C38" s="22"/>
      <x:c r="D38" s="22"/>
      <x:c r="E38" s="22"/>
      <x:c r="F38" s="22"/>
      <x:c r="G38" s="22"/>
      <x:c r="H38" s="22"/>
      <x:c r="I38" s="22"/>
      <x:c r="J38" s="22"/>
      <x:c r="K38" s="24"/>
      <x:c r="L38" s="36" t="str">
        <x:f>IF(K38="","",K38*IF(M38="USD",N38,1))</x:f>
      </x:c>
      <x:c r="M38" s="22"/>
      <x:c r="N38" s="36" t="n">
        <x:f>IF(M38="USD",Settings!$B$7,1)</x:f>
        <x:v>1</x:v>
      </x:c>
      <x:c r="O38" s="22"/>
      <x:c r="P38" s="22"/>
      <x:c r="Q38" s="22"/>
      <x:c r="R38" s="22"/>
      <x:c r="S38" s="22"/>
      <x:c r="T38" s="22"/>
      <x:c r="U38" s="22"/>
      <x:c r="V38" s="22"/>
    </x:row>
    <x:row r="39">
      <x:c r="A39" s="22"/>
      <x:c r="B39" s="28"/>
      <x:c r="C39" s="22"/>
      <x:c r="D39" s="22"/>
      <x:c r="E39" s="22"/>
      <x:c r="F39" s="22"/>
      <x:c r="G39" s="22"/>
      <x:c r="H39" s="22"/>
      <x:c r="I39" s="22"/>
      <x:c r="J39" s="22"/>
      <x:c r="K39" s="24"/>
      <x:c r="L39" s="36" t="str">
        <x:f>IF(K39="","",K39*IF(M39="USD",N39,1))</x:f>
      </x:c>
      <x:c r="M39" s="22"/>
      <x:c r="N39" s="36" t="n">
        <x:f>IF(M39="USD",Settings!$B$7,1)</x:f>
        <x:v>1</x:v>
      </x:c>
      <x:c r="O39" s="22"/>
      <x:c r="P39" s="22"/>
      <x:c r="Q39" s="22"/>
      <x:c r="R39" s="22"/>
      <x:c r="S39" s="22"/>
      <x:c r="T39" s="22"/>
      <x:c r="U39" s="22"/>
      <x:c r="V39" s="22"/>
    </x:row>
    <x:row r="40">
      <x:c r="A40" s="22"/>
      <x:c r="B40" s="28"/>
      <x:c r="C40" s="22"/>
      <x:c r="D40" s="22"/>
      <x:c r="E40" s="22"/>
      <x:c r="F40" s="22"/>
      <x:c r="G40" s="22"/>
      <x:c r="H40" s="22"/>
      <x:c r="I40" s="22"/>
      <x:c r="J40" s="22"/>
      <x:c r="K40" s="24"/>
      <x:c r="L40" s="36" t="str">
        <x:f>IF(K40="","",K40*IF(M40="USD",N40,1))</x:f>
      </x:c>
      <x:c r="M40" s="22"/>
      <x:c r="N40" s="36" t="n">
        <x:f>IF(M40="USD",Settings!$B$7,1)</x:f>
        <x:v>1</x:v>
      </x:c>
      <x:c r="O40" s="22"/>
      <x:c r="P40" s="22"/>
      <x:c r="Q40" s="22"/>
      <x:c r="R40" s="22"/>
      <x:c r="S40" s="22"/>
      <x:c r="T40" s="22"/>
      <x:c r="U40" s="22"/>
      <x:c r="V40" s="22"/>
    </x:row>
    <x:row r="41">
      <x:c r="A41" s="22"/>
      <x:c r="B41" s="28"/>
      <x:c r="C41" s="22"/>
      <x:c r="D41" s="22"/>
      <x:c r="E41" s="22"/>
      <x:c r="F41" s="22"/>
      <x:c r="G41" s="22"/>
      <x:c r="H41" s="22"/>
      <x:c r="I41" s="22"/>
      <x:c r="J41" s="22"/>
      <x:c r="K41" s="24"/>
      <x:c r="L41" s="36" t="str">
        <x:f>IF(K41="","",K41*IF(M41="USD",N41,1))</x:f>
      </x:c>
      <x:c r="M41" s="22"/>
      <x:c r="N41" s="36" t="n">
        <x:f>IF(M41="USD",Settings!$B$7,1)</x:f>
        <x:v>1</x:v>
      </x:c>
      <x:c r="O41" s="22"/>
      <x:c r="P41" s="22"/>
      <x:c r="Q41" s="22"/>
      <x:c r="R41" s="22"/>
      <x:c r="S41" s="22"/>
      <x:c r="T41" s="22"/>
      <x:c r="U41" s="22"/>
      <x:c r="V41" s="22"/>
    </x:row>
    <x:row r="42">
      <x:c r="A42" s="22"/>
      <x:c r="B42" s="28"/>
      <x:c r="C42" s="22"/>
      <x:c r="D42" s="22"/>
      <x:c r="E42" s="22"/>
      <x:c r="F42" s="22"/>
      <x:c r="G42" s="22"/>
      <x:c r="H42" s="22"/>
      <x:c r="I42" s="22"/>
      <x:c r="J42" s="22"/>
      <x:c r="K42" s="24"/>
      <x:c r="L42" s="36" t="str">
        <x:f>IF(K42="","",K42*IF(M42="USD",N42,1))</x:f>
      </x:c>
      <x:c r="M42" s="22"/>
      <x:c r="N42" s="36" t="n">
        <x:f>IF(M42="USD",Settings!$B$7,1)</x:f>
        <x:v>1</x:v>
      </x:c>
      <x:c r="O42" s="22"/>
      <x:c r="P42" s="22"/>
      <x:c r="Q42" s="22"/>
      <x:c r="R42" s="22"/>
      <x:c r="S42" s="22"/>
      <x:c r="T42" s="22"/>
      <x:c r="U42" s="22"/>
      <x:c r="V42" s="22"/>
    </x:row>
    <x:row r="43">
      <x:c r="A43" s="22"/>
      <x:c r="B43" s="28"/>
      <x:c r="C43" s="22"/>
      <x:c r="D43" s="22"/>
      <x:c r="E43" s="22"/>
      <x:c r="F43" s="22"/>
      <x:c r="G43" s="22"/>
      <x:c r="H43" s="22"/>
      <x:c r="I43" s="22"/>
      <x:c r="J43" s="22"/>
      <x:c r="K43" s="24"/>
      <x:c r="L43" s="36" t="str">
        <x:f>IF(K43="","",K43*IF(M43="USD",N43,1))</x:f>
      </x:c>
      <x:c r="M43" s="22"/>
      <x:c r="N43" s="36" t="n">
        <x:f>IF(M43="USD",Settings!$B$7,1)</x:f>
        <x:v>1</x:v>
      </x:c>
      <x:c r="O43" s="22"/>
      <x:c r="P43" s="22"/>
      <x:c r="Q43" s="22"/>
      <x:c r="R43" s="22"/>
      <x:c r="S43" s="22"/>
      <x:c r="T43" s="22"/>
      <x:c r="U43" s="22"/>
      <x:c r="V43" s="22"/>
    </x:row>
    <x:row r="44">
      <x:c r="A44" s="22"/>
      <x:c r="B44" s="28"/>
      <x:c r="C44" s="22"/>
      <x:c r="D44" s="22"/>
      <x:c r="E44" s="22"/>
      <x:c r="F44" s="22"/>
      <x:c r="G44" s="22"/>
      <x:c r="H44" s="22"/>
      <x:c r="I44" s="22"/>
      <x:c r="J44" s="22"/>
      <x:c r="K44" s="24"/>
      <x:c r="L44" s="36" t="str">
        <x:f>IF(K44="","",K44*IF(M44="USD",N44,1))</x:f>
      </x:c>
      <x:c r="M44" s="22"/>
      <x:c r="N44" s="36" t="n">
        <x:f>IF(M44="USD",Settings!$B$7,1)</x:f>
        <x:v>1</x:v>
      </x:c>
      <x:c r="O44" s="22"/>
      <x:c r="P44" s="22"/>
      <x:c r="Q44" s="22"/>
      <x:c r="R44" s="22"/>
      <x:c r="S44" s="22"/>
      <x:c r="T44" s="22"/>
      <x:c r="U44" s="22"/>
      <x:c r="V44" s="22"/>
    </x:row>
    <x:row r="45">
      <x:c r="A45" s="22"/>
      <x:c r="B45" s="28"/>
      <x:c r="C45" s="22"/>
      <x:c r="D45" s="22"/>
      <x:c r="E45" s="22"/>
      <x:c r="F45" s="22"/>
      <x:c r="G45" s="22"/>
      <x:c r="H45" s="22"/>
      <x:c r="I45" s="22"/>
      <x:c r="J45" s="22"/>
      <x:c r="K45" s="24"/>
      <x:c r="L45" s="36" t="str">
        <x:f>IF(K45="","",K45*IF(M45="USD",N45,1))</x:f>
      </x:c>
      <x:c r="M45" s="22"/>
      <x:c r="N45" s="36" t="n">
        <x:f>IF(M45="USD",Settings!$B$7,1)</x:f>
        <x:v>1</x:v>
      </x:c>
      <x:c r="O45" s="22"/>
      <x:c r="P45" s="22"/>
      <x:c r="Q45" s="22"/>
      <x:c r="R45" s="22"/>
      <x:c r="S45" s="22"/>
      <x:c r="T45" s="22"/>
      <x:c r="U45" s="22"/>
      <x:c r="V45" s="22"/>
    </x:row>
    <x:row r="46">
      <x:c r="A46" s="22"/>
      <x:c r="B46" s="28"/>
      <x:c r="C46" s="22"/>
      <x:c r="D46" s="22"/>
      <x:c r="E46" s="22"/>
      <x:c r="F46" s="22"/>
      <x:c r="G46" s="22"/>
      <x:c r="H46" s="22"/>
      <x:c r="I46" s="22"/>
      <x:c r="J46" s="22"/>
      <x:c r="K46" s="24"/>
      <x:c r="L46" s="36" t="str">
        <x:f>IF(K46="","",K46*IF(M46="USD",N46,1))</x:f>
      </x:c>
      <x:c r="M46" s="22"/>
      <x:c r="N46" s="36" t="n">
        <x:f>IF(M46="USD",Settings!$B$7,1)</x:f>
        <x:v>1</x:v>
      </x:c>
      <x:c r="O46" s="22"/>
      <x:c r="P46" s="22"/>
      <x:c r="Q46" s="22"/>
      <x:c r="R46" s="22"/>
      <x:c r="S46" s="22"/>
      <x:c r="T46" s="22"/>
      <x:c r="U46" s="22"/>
      <x:c r="V46" s="22"/>
    </x:row>
    <x:row r="47">
      <x:c r="A47" s="22"/>
      <x:c r="B47" s="28"/>
      <x:c r="C47" s="22"/>
      <x:c r="D47" s="22"/>
      <x:c r="E47" s="22"/>
      <x:c r="F47" s="22"/>
      <x:c r="G47" s="22"/>
      <x:c r="H47" s="22"/>
      <x:c r="I47" s="22"/>
      <x:c r="J47" s="22"/>
      <x:c r="K47" s="24"/>
      <x:c r="L47" s="36" t="str">
        <x:f>IF(K47="","",K47*IF(M47="USD",N47,1))</x:f>
      </x:c>
      <x:c r="M47" s="22"/>
      <x:c r="N47" s="36" t="n">
        <x:f>IF(M47="USD",Settings!$B$7,1)</x:f>
        <x:v>1</x:v>
      </x:c>
      <x:c r="O47" s="22"/>
      <x:c r="P47" s="22"/>
      <x:c r="Q47" s="22"/>
      <x:c r="R47" s="22"/>
      <x:c r="S47" s="22"/>
      <x:c r="T47" s="22"/>
      <x:c r="U47" s="22"/>
      <x:c r="V47" s="22"/>
    </x:row>
    <x:row r="48">
      <x:c r="A48" s="22"/>
      <x:c r="B48" s="28"/>
      <x:c r="C48" s="22"/>
      <x:c r="D48" s="22"/>
      <x:c r="E48" s="22"/>
      <x:c r="F48" s="22"/>
      <x:c r="G48" s="22"/>
      <x:c r="H48" s="22"/>
      <x:c r="I48" s="22"/>
      <x:c r="J48" s="22"/>
      <x:c r="K48" s="24"/>
      <x:c r="L48" s="36" t="str">
        <x:f>IF(K48="","",K48*IF(M48="USD",N48,1))</x:f>
      </x:c>
      <x:c r="M48" s="22"/>
      <x:c r="N48" s="36" t="n">
        <x:f>IF(M48="USD",Settings!$B$7,1)</x:f>
        <x:v>1</x:v>
      </x:c>
      <x:c r="O48" s="22"/>
      <x:c r="P48" s="22"/>
      <x:c r="Q48" s="22"/>
      <x:c r="R48" s="22"/>
      <x:c r="S48" s="22"/>
      <x:c r="T48" s="22"/>
      <x:c r="U48" s="22"/>
      <x:c r="V48" s="22"/>
    </x:row>
    <x:row r="49">
      <x:c r="A49" s="22"/>
      <x:c r="B49" s="28"/>
      <x:c r="C49" s="22"/>
      <x:c r="D49" s="22"/>
      <x:c r="E49" s="22"/>
      <x:c r="F49" s="22"/>
      <x:c r="G49" s="22"/>
      <x:c r="H49" s="22"/>
      <x:c r="I49" s="22"/>
      <x:c r="J49" s="22"/>
      <x:c r="K49" s="24"/>
      <x:c r="L49" s="36" t="str">
        <x:f>IF(K49="","",K49*IF(M49="USD",N49,1))</x:f>
      </x:c>
      <x:c r="M49" s="22"/>
      <x:c r="N49" s="36" t="n">
        <x:f>IF(M49="USD",Settings!$B$7,1)</x:f>
        <x:v>1</x:v>
      </x:c>
      <x:c r="O49" s="22"/>
      <x:c r="P49" s="22"/>
      <x:c r="Q49" s="22"/>
      <x:c r="R49" s="22"/>
      <x:c r="S49" s="22"/>
      <x:c r="T49" s="22"/>
      <x:c r="U49" s="22"/>
      <x:c r="V49" s="22"/>
    </x:row>
    <x:row r="50">
      <x:c r="A50" s="22"/>
      <x:c r="B50" s="28"/>
      <x:c r="C50" s="22"/>
      <x:c r="D50" s="22"/>
      <x:c r="E50" s="22"/>
      <x:c r="F50" s="22"/>
      <x:c r="G50" s="22"/>
      <x:c r="H50" s="22"/>
      <x:c r="I50" s="22"/>
      <x:c r="J50" s="22"/>
      <x:c r="K50" s="24"/>
      <x:c r="L50" s="36" t="str">
        <x:f>IF(K50="","",K50*IF(M50="USD",N50,1))</x:f>
      </x:c>
      <x:c r="M50" s="22"/>
      <x:c r="N50" s="36" t="n">
        <x:f>IF(M50="USD",Settings!$B$7,1)</x:f>
        <x:v>1</x:v>
      </x:c>
      <x:c r="O50" s="22"/>
      <x:c r="P50" s="22"/>
      <x:c r="Q50" s="22"/>
      <x:c r="R50" s="22"/>
      <x:c r="S50" s="22"/>
      <x:c r="T50" s="22"/>
      <x:c r="U50" s="22"/>
      <x:c r="V50" s="22"/>
    </x:row>
    <x:row r="51">
      <x:c r="A51" s="22"/>
      <x:c r="B51" s="28"/>
      <x:c r="C51" s="22"/>
      <x:c r="D51" s="22"/>
      <x:c r="E51" s="22"/>
      <x:c r="F51" s="22"/>
      <x:c r="G51" s="22"/>
      <x:c r="H51" s="22"/>
      <x:c r="I51" s="22"/>
      <x:c r="J51" s="22"/>
      <x:c r="K51" s="24"/>
      <x:c r="L51" s="36" t="str">
        <x:f>IF(K51="","",K51*IF(M51="USD",N51,1))</x:f>
      </x:c>
      <x:c r="M51" s="22"/>
      <x:c r="N51" s="36" t="n">
        <x:f>IF(M51="USD",Settings!$B$7,1)</x:f>
        <x:v>1</x:v>
      </x:c>
      <x:c r="O51" s="22"/>
      <x:c r="P51" s="22"/>
      <x:c r="Q51" s="22"/>
      <x:c r="R51" s="22"/>
      <x:c r="S51" s="22"/>
      <x:c r="T51" s="22"/>
      <x:c r="U51" s="22"/>
      <x:c r="V51" s="22"/>
    </x:row>
    <x:row r="52">
      <x:c r="A52" s="22"/>
      <x:c r="B52" s="28"/>
      <x:c r="C52" s="22"/>
      <x:c r="D52" s="22"/>
      <x:c r="E52" s="22"/>
      <x:c r="F52" s="22"/>
      <x:c r="G52" s="22"/>
      <x:c r="H52" s="22"/>
      <x:c r="I52" s="22"/>
      <x:c r="J52" s="22"/>
      <x:c r="K52" s="24"/>
      <x:c r="L52" s="36" t="str">
        <x:f>IF(K52="","",K52*IF(M52="USD",N52,1))</x:f>
      </x:c>
      <x:c r="M52" s="22"/>
      <x:c r="N52" s="36" t="n">
        <x:f>IF(M52="USD",Settings!$B$7,1)</x:f>
        <x:v>1</x:v>
      </x:c>
      <x:c r="O52" s="22"/>
      <x:c r="P52" s="22"/>
      <x:c r="Q52" s="22"/>
      <x:c r="R52" s="22"/>
      <x:c r="S52" s="22"/>
      <x:c r="T52" s="22"/>
      <x:c r="U52" s="22"/>
      <x:c r="V52" s="22"/>
    </x:row>
    <x:row r="53">
      <x:c r="A53" s="22"/>
      <x:c r="B53" s="28"/>
      <x:c r="C53" s="22"/>
      <x:c r="D53" s="22"/>
      <x:c r="E53" s="22"/>
      <x:c r="F53" s="22"/>
      <x:c r="G53" s="22"/>
      <x:c r="H53" s="22"/>
      <x:c r="I53" s="22"/>
      <x:c r="J53" s="22"/>
      <x:c r="K53" s="24"/>
      <x:c r="L53" s="36" t="str">
        <x:f>IF(K53="","",K53*IF(M53="USD",N53,1))</x:f>
      </x:c>
      <x:c r="M53" s="22"/>
      <x:c r="N53" s="36" t="n">
        <x:f>IF(M53="USD",Settings!$B$7,1)</x:f>
        <x:v>1</x:v>
      </x:c>
      <x:c r="O53" s="22"/>
      <x:c r="P53" s="22"/>
      <x:c r="Q53" s="22"/>
      <x:c r="R53" s="22"/>
      <x:c r="S53" s="22"/>
      <x:c r="T53" s="22"/>
      <x:c r="U53" s="22"/>
      <x:c r="V53" s="22"/>
    </x:row>
    <x:row r="54">
      <x:c r="A54" s="22"/>
      <x:c r="B54" s="28"/>
      <x:c r="C54" s="22"/>
      <x:c r="D54" s="22"/>
      <x:c r="E54" s="22"/>
      <x:c r="F54" s="22"/>
      <x:c r="G54" s="22"/>
      <x:c r="H54" s="22"/>
      <x:c r="I54" s="22"/>
      <x:c r="J54" s="22"/>
      <x:c r="K54" s="24"/>
      <x:c r="L54" s="36" t="str">
        <x:f>IF(K54="","",K54*IF(M54="USD",N54,1))</x:f>
      </x:c>
      <x:c r="M54" s="22"/>
      <x:c r="N54" s="36" t="n">
        <x:f>IF(M54="USD",Settings!$B$7,1)</x:f>
        <x:v>1</x:v>
      </x:c>
      <x:c r="O54" s="22"/>
      <x:c r="P54" s="22"/>
      <x:c r="Q54" s="22"/>
      <x:c r="R54" s="22"/>
      <x:c r="S54" s="22"/>
      <x:c r="T54" s="22"/>
      <x:c r="U54" s="22"/>
      <x:c r="V54" s="22"/>
    </x:row>
    <x:row r="55">
      <x:c r="A55" s="22"/>
      <x:c r="B55" s="28"/>
      <x:c r="C55" s="22"/>
      <x:c r="D55" s="22"/>
      <x:c r="E55" s="22"/>
      <x:c r="F55" s="22"/>
      <x:c r="G55" s="22"/>
      <x:c r="H55" s="22"/>
      <x:c r="I55" s="22"/>
      <x:c r="J55" s="22"/>
      <x:c r="K55" s="24"/>
      <x:c r="L55" s="36" t="str">
        <x:f>IF(K55="","",K55*IF(M55="USD",N55,1))</x:f>
      </x:c>
      <x:c r="M55" s="22"/>
      <x:c r="N55" s="36" t="n">
        <x:f>IF(M55="USD",Settings!$B$7,1)</x:f>
        <x:v>1</x:v>
      </x:c>
      <x:c r="O55" s="22"/>
      <x:c r="P55" s="22"/>
      <x:c r="Q55" s="22"/>
      <x:c r="R55" s="22"/>
      <x:c r="S55" s="22"/>
      <x:c r="T55" s="22"/>
      <x:c r="U55" s="22"/>
      <x:c r="V55" s="22"/>
    </x:row>
    <x:row r="56">
      <x:c r="A56" s="22"/>
      <x:c r="B56" s="28"/>
      <x:c r="C56" s="22"/>
      <x:c r="D56" s="22"/>
      <x:c r="E56" s="22"/>
      <x:c r="F56" s="22"/>
      <x:c r="G56" s="22"/>
      <x:c r="H56" s="22"/>
      <x:c r="I56" s="22"/>
      <x:c r="J56" s="22"/>
      <x:c r="K56" s="24"/>
      <x:c r="L56" s="36" t="str">
        <x:f>IF(K56="","",K56*IF(M56="USD",N56,1))</x:f>
      </x:c>
      <x:c r="M56" s="22"/>
      <x:c r="N56" s="36" t="n">
        <x:f>IF(M56="USD",Settings!$B$7,1)</x:f>
        <x:v>1</x:v>
      </x:c>
      <x:c r="O56" s="22"/>
      <x:c r="P56" s="22"/>
      <x:c r="Q56" s="22"/>
      <x:c r="R56" s="22"/>
      <x:c r="S56" s="22"/>
      <x:c r="T56" s="22"/>
      <x:c r="U56" s="22"/>
      <x:c r="V56" s="22"/>
    </x:row>
    <x:row r="57">
      <x:c r="A57" s="22"/>
      <x:c r="B57" s="28"/>
      <x:c r="C57" s="22"/>
      <x:c r="D57" s="22"/>
      <x:c r="E57" s="22"/>
      <x:c r="F57" s="22"/>
      <x:c r="G57" s="22"/>
      <x:c r="H57" s="22"/>
      <x:c r="I57" s="22"/>
      <x:c r="J57" s="22"/>
      <x:c r="K57" s="24"/>
      <x:c r="L57" s="36" t="str">
        <x:f>IF(K57="","",K57*IF(M57="USD",N57,1))</x:f>
      </x:c>
      <x:c r="M57" s="22"/>
      <x:c r="N57" s="36" t="n">
        <x:f>IF(M57="USD",Settings!$B$7,1)</x:f>
        <x:v>1</x:v>
      </x:c>
      <x:c r="O57" s="22"/>
      <x:c r="P57" s="22"/>
      <x:c r="Q57" s="22"/>
      <x:c r="R57" s="22"/>
      <x:c r="S57" s="22"/>
      <x:c r="T57" s="22"/>
      <x:c r="U57" s="22"/>
      <x:c r="V57" s="22"/>
    </x:row>
    <x:row r="58">
      <x:c r="A58" s="22"/>
      <x:c r="B58" s="28"/>
      <x:c r="C58" s="22"/>
      <x:c r="D58" s="22"/>
      <x:c r="E58" s="22"/>
      <x:c r="F58" s="22"/>
      <x:c r="G58" s="22"/>
      <x:c r="H58" s="22"/>
      <x:c r="I58" s="22"/>
      <x:c r="J58" s="22"/>
      <x:c r="K58" s="24"/>
      <x:c r="L58" s="36" t="str">
        <x:f>IF(K58="","",K58*IF(M58="USD",N58,1))</x:f>
      </x:c>
      <x:c r="M58" s="22"/>
      <x:c r="N58" s="36" t="n">
        <x:f>IF(M58="USD",Settings!$B$7,1)</x:f>
        <x:v>1</x:v>
      </x:c>
      <x:c r="O58" s="22"/>
      <x:c r="P58" s="22"/>
      <x:c r="Q58" s="22"/>
      <x:c r="R58" s="22"/>
      <x:c r="S58" s="22"/>
      <x:c r="T58" s="22"/>
      <x:c r="U58" s="22"/>
      <x:c r="V58" s="22"/>
    </x:row>
    <x:row r="59">
      <x:c r="A59" s="22"/>
      <x:c r="B59" s="28"/>
      <x:c r="C59" s="22"/>
      <x:c r="D59" s="22"/>
      <x:c r="E59" s="22"/>
      <x:c r="F59" s="22"/>
      <x:c r="G59" s="22"/>
      <x:c r="H59" s="22"/>
      <x:c r="I59" s="22"/>
      <x:c r="J59" s="22"/>
      <x:c r="K59" s="24"/>
      <x:c r="L59" s="36" t="str">
        <x:f>IF(K59="","",K59*IF(M59="USD",N59,1))</x:f>
      </x:c>
      <x:c r="M59" s="22"/>
      <x:c r="N59" s="36" t="n">
        <x:f>IF(M59="USD",Settings!$B$7,1)</x:f>
        <x:v>1</x:v>
      </x:c>
      <x:c r="O59" s="22"/>
      <x:c r="P59" s="22"/>
      <x:c r="Q59" s="22"/>
      <x:c r="R59" s="22"/>
      <x:c r="S59" s="22"/>
      <x:c r="T59" s="22"/>
      <x:c r="U59" s="22"/>
      <x:c r="V59" s="22"/>
    </x:row>
    <x:row r="60">
      <x:c r="A60" s="22"/>
      <x:c r="B60" s="28"/>
      <x:c r="C60" s="22"/>
      <x:c r="D60" s="22"/>
      <x:c r="E60" s="22"/>
      <x:c r="F60" s="22"/>
      <x:c r="G60" s="22"/>
      <x:c r="H60" s="22"/>
      <x:c r="I60" s="22"/>
      <x:c r="J60" s="22"/>
      <x:c r="K60" s="24"/>
      <x:c r="L60" s="36" t="str">
        <x:f>IF(K60="","",K60*IF(M60="USD",N60,1))</x:f>
      </x:c>
      <x:c r="M60" s="22"/>
      <x:c r="N60" s="36" t="n">
        <x:f>IF(M60="USD",Settings!$B$7,1)</x:f>
        <x:v>1</x:v>
      </x:c>
      <x:c r="O60" s="22"/>
      <x:c r="P60" s="22"/>
      <x:c r="Q60" s="22"/>
      <x:c r="R60" s="22"/>
      <x:c r="S60" s="22"/>
      <x:c r="T60" s="22"/>
      <x:c r="U60" s="22"/>
      <x:c r="V60" s="22"/>
    </x:row>
    <x:row r="61">
      <x:c r="A61" s="22"/>
      <x:c r="B61" s="28"/>
      <x:c r="C61" s="22"/>
      <x:c r="D61" s="22"/>
      <x:c r="E61" s="22"/>
      <x:c r="F61" s="22"/>
      <x:c r="G61" s="22"/>
      <x:c r="H61" s="22"/>
      <x:c r="I61" s="22"/>
      <x:c r="J61" s="22"/>
      <x:c r="K61" s="24"/>
      <x:c r="L61" s="36" t="str">
        <x:f>IF(K61="","",K61*IF(M61="USD",N61,1))</x:f>
      </x:c>
      <x:c r="M61" s="22"/>
      <x:c r="N61" s="36" t="n">
        <x:f>IF(M61="USD",Settings!$B$7,1)</x:f>
        <x:v>1</x:v>
      </x:c>
      <x:c r="O61" s="22"/>
      <x:c r="P61" s="22"/>
      <x:c r="Q61" s="22"/>
      <x:c r="R61" s="22"/>
      <x:c r="S61" s="22"/>
      <x:c r="T61" s="22"/>
      <x:c r="U61" s="22"/>
      <x:c r="V61" s="22"/>
    </x:row>
    <x:row r="62">
      <x:c r="A62" s="22"/>
      <x:c r="B62" s="28"/>
      <x:c r="C62" s="22"/>
      <x:c r="D62" s="22"/>
      <x:c r="E62" s="22"/>
      <x:c r="F62" s="22"/>
      <x:c r="G62" s="22"/>
      <x:c r="H62" s="22"/>
      <x:c r="I62" s="22"/>
      <x:c r="J62" s="22"/>
      <x:c r="K62" s="24"/>
      <x:c r="L62" s="36" t="str">
        <x:f>IF(K62="","",K62*IF(M62="USD",N62,1))</x:f>
      </x:c>
      <x:c r="M62" s="22"/>
      <x:c r="N62" s="36" t="n">
        <x:f>IF(M62="USD",Settings!$B$7,1)</x:f>
        <x:v>1</x:v>
      </x:c>
      <x:c r="O62" s="22"/>
      <x:c r="P62" s="22"/>
      <x:c r="Q62" s="22"/>
      <x:c r="R62" s="22"/>
      <x:c r="S62" s="22"/>
      <x:c r="T62" s="22"/>
      <x:c r="U62" s="22"/>
      <x:c r="V62" s="22"/>
    </x:row>
    <x:row r="63">
      <x:c r="A63" s="22"/>
      <x:c r="B63" s="28"/>
      <x:c r="C63" s="22"/>
      <x:c r="D63" s="22"/>
      <x:c r="E63" s="22"/>
      <x:c r="F63" s="22"/>
      <x:c r="G63" s="22"/>
      <x:c r="H63" s="22"/>
      <x:c r="I63" s="22"/>
      <x:c r="J63" s="22"/>
      <x:c r="K63" s="24"/>
      <x:c r="L63" s="36" t="str">
        <x:f>IF(K63="","",K63*IF(M63="USD",N63,1))</x:f>
      </x:c>
      <x:c r="M63" s="22"/>
      <x:c r="N63" s="36" t="n">
        <x:f>IF(M63="USD",Settings!$B$7,1)</x:f>
        <x:v>1</x:v>
      </x:c>
      <x:c r="O63" s="22"/>
      <x:c r="P63" s="22"/>
      <x:c r="Q63" s="22"/>
      <x:c r="R63" s="22"/>
      <x:c r="S63" s="22"/>
      <x:c r="T63" s="22"/>
      <x:c r="U63" s="22"/>
      <x:c r="V63" s="22"/>
    </x:row>
    <x:row r="64">
      <x:c r="A64" s="22"/>
      <x:c r="B64" s="28"/>
      <x:c r="C64" s="22"/>
      <x:c r="D64" s="22"/>
      <x:c r="E64" s="22"/>
      <x:c r="F64" s="22"/>
      <x:c r="G64" s="22"/>
      <x:c r="H64" s="22"/>
      <x:c r="I64" s="22"/>
      <x:c r="J64" s="22"/>
      <x:c r="K64" s="24"/>
      <x:c r="L64" s="36" t="str">
        <x:f>IF(K64="","",K64*IF(M64="USD",N64,1))</x:f>
      </x:c>
      <x:c r="M64" s="22"/>
      <x:c r="N64" s="36" t="n">
        <x:f>IF(M64="USD",Settings!$B$7,1)</x:f>
        <x:v>1</x:v>
      </x:c>
      <x:c r="O64" s="22"/>
      <x:c r="P64" s="22"/>
      <x:c r="Q64" s="22"/>
      <x:c r="R64" s="22"/>
      <x:c r="S64" s="22"/>
      <x:c r="T64" s="22"/>
      <x:c r="U64" s="22"/>
      <x:c r="V64" s="22"/>
    </x:row>
    <x:row r="65">
      <x:c r="A65" s="22"/>
      <x:c r="B65" s="28"/>
      <x:c r="C65" s="22"/>
      <x:c r="D65" s="22"/>
      <x:c r="E65" s="22"/>
      <x:c r="F65" s="22"/>
      <x:c r="G65" s="22"/>
      <x:c r="H65" s="22"/>
      <x:c r="I65" s="22"/>
      <x:c r="J65" s="22"/>
      <x:c r="K65" s="24"/>
      <x:c r="L65" s="36" t="str">
        <x:f>IF(K65="","",K65*IF(M65="USD",N65,1))</x:f>
      </x:c>
      <x:c r="M65" s="22"/>
      <x:c r="N65" s="36" t="n">
        <x:f>IF(M65="USD",Settings!$B$7,1)</x:f>
        <x:v>1</x:v>
      </x:c>
      <x:c r="O65" s="22"/>
      <x:c r="P65" s="22"/>
      <x:c r="Q65" s="22"/>
      <x:c r="R65" s="22"/>
      <x:c r="S65" s="22"/>
      <x:c r="T65" s="22"/>
      <x:c r="U65" s="22"/>
      <x:c r="V65" s="22"/>
    </x:row>
    <x:row r="66">
      <x:c r="A66" s="22"/>
      <x:c r="B66" s="28"/>
      <x:c r="C66" s="22"/>
      <x:c r="D66" s="22"/>
      <x:c r="E66" s="22"/>
      <x:c r="F66" s="22"/>
      <x:c r="G66" s="22"/>
      <x:c r="H66" s="22"/>
      <x:c r="I66" s="22"/>
      <x:c r="J66" s="22"/>
      <x:c r="K66" s="24"/>
      <x:c r="L66" s="36" t="str">
        <x:f>IF(K66="","",K66*IF(M66="USD",N66,1))</x:f>
      </x:c>
      <x:c r="M66" s="22"/>
      <x:c r="N66" s="36" t="n">
        <x:f>IF(M66="USD",Settings!$B$7,1)</x:f>
        <x:v>1</x:v>
      </x:c>
      <x:c r="O66" s="22"/>
      <x:c r="P66" s="22"/>
      <x:c r="Q66" s="22"/>
      <x:c r="R66" s="22"/>
      <x:c r="S66" s="22"/>
      <x:c r="T66" s="22"/>
      <x:c r="U66" s="22"/>
      <x:c r="V66" s="22"/>
    </x:row>
    <x:row r="67">
      <x:c r="A67" s="22"/>
      <x:c r="B67" s="28"/>
      <x:c r="C67" s="22"/>
      <x:c r="D67" s="22"/>
      <x:c r="E67" s="22"/>
      <x:c r="F67" s="22"/>
      <x:c r="G67" s="22"/>
      <x:c r="H67" s="22"/>
      <x:c r="I67" s="22"/>
      <x:c r="J67" s="22"/>
      <x:c r="K67" s="24"/>
      <x:c r="L67" s="36" t="str">
        <x:f>IF(K67="","",K67*IF(M67="USD",N67,1))</x:f>
      </x:c>
      <x:c r="M67" s="22"/>
      <x:c r="N67" s="36" t="n">
        <x:f>IF(M67="USD",Settings!$B$7,1)</x:f>
        <x:v>1</x:v>
      </x:c>
      <x:c r="O67" s="22"/>
      <x:c r="P67" s="22"/>
      <x:c r="Q67" s="22"/>
      <x:c r="R67" s="22"/>
      <x:c r="S67" s="22"/>
      <x:c r="T67" s="22"/>
      <x:c r="U67" s="22"/>
      <x:c r="V67" s="22"/>
    </x:row>
    <x:row r="68">
      <x:c r="A68" s="22"/>
      <x:c r="B68" s="28"/>
      <x:c r="C68" s="22"/>
      <x:c r="D68" s="22"/>
      <x:c r="E68" s="22"/>
      <x:c r="F68" s="22"/>
      <x:c r="G68" s="22"/>
      <x:c r="H68" s="22"/>
      <x:c r="I68" s="22"/>
      <x:c r="J68" s="22"/>
      <x:c r="K68" s="24"/>
      <x:c r="L68" s="36" t="str">
        <x:f>IF(K68="","",K68*IF(M68="USD",N68,1))</x:f>
      </x:c>
      <x:c r="M68" s="22"/>
      <x:c r="N68" s="36" t="n">
        <x:f>IF(M68="USD",Settings!$B$7,1)</x:f>
        <x:v>1</x:v>
      </x:c>
      <x:c r="O68" s="22"/>
      <x:c r="P68" s="22"/>
      <x:c r="Q68" s="22"/>
      <x:c r="R68" s="22"/>
      <x:c r="S68" s="22"/>
      <x:c r="T68" s="22"/>
      <x:c r="U68" s="22"/>
      <x:c r="V68" s="22"/>
    </x:row>
    <x:row r="69">
      <x:c r="A69" s="22"/>
      <x:c r="B69" s="28"/>
      <x:c r="C69" s="22"/>
      <x:c r="D69" s="22"/>
      <x:c r="E69" s="22"/>
      <x:c r="F69" s="22"/>
      <x:c r="G69" s="22"/>
      <x:c r="H69" s="22"/>
      <x:c r="I69" s="22"/>
      <x:c r="J69" s="22"/>
      <x:c r="K69" s="24"/>
      <x:c r="L69" s="36" t="str">
        <x:f>IF(K69="","",K69*IF(M69="USD",N69,1))</x:f>
      </x:c>
      <x:c r="M69" s="22"/>
      <x:c r="N69" s="36" t="n">
        <x:f>IF(M69="USD",Settings!$B$7,1)</x:f>
        <x:v>1</x:v>
      </x:c>
      <x:c r="O69" s="22"/>
      <x:c r="P69" s="22"/>
      <x:c r="Q69" s="22"/>
      <x:c r="R69" s="22"/>
      <x:c r="S69" s="22"/>
      <x:c r="T69" s="22"/>
      <x:c r="U69" s="22"/>
      <x:c r="V69" s="22"/>
    </x:row>
    <x:row r="70">
      <x:c r="A70" s="22"/>
      <x:c r="B70" s="28"/>
      <x:c r="C70" s="22"/>
      <x:c r="D70" s="22"/>
      <x:c r="E70" s="22"/>
      <x:c r="F70" s="22"/>
      <x:c r="G70" s="22"/>
      <x:c r="H70" s="22"/>
      <x:c r="I70" s="22"/>
      <x:c r="J70" s="22"/>
      <x:c r="K70" s="24"/>
      <x:c r="L70" s="36" t="str">
        <x:f>IF(K70="","",K70*IF(M70="USD",N70,1))</x:f>
      </x:c>
      <x:c r="M70" s="22"/>
      <x:c r="N70" s="36" t="n">
        <x:f>IF(M70="USD",Settings!$B$7,1)</x:f>
        <x:v>1</x:v>
      </x:c>
      <x:c r="O70" s="22"/>
      <x:c r="P70" s="22"/>
      <x:c r="Q70" s="22"/>
      <x:c r="R70" s="22"/>
      <x:c r="S70" s="22"/>
      <x:c r="T70" s="22"/>
      <x:c r="U70" s="22"/>
      <x:c r="V70" s="22"/>
    </x:row>
    <x:row r="71">
      <x:c r="A71" s="22"/>
      <x:c r="B71" s="28"/>
      <x:c r="C71" s="22"/>
      <x:c r="D71" s="22"/>
      <x:c r="E71" s="22"/>
      <x:c r="F71" s="22"/>
      <x:c r="G71" s="22"/>
      <x:c r="H71" s="22"/>
      <x:c r="I71" s="22"/>
      <x:c r="J71" s="22"/>
      <x:c r="K71" s="24"/>
      <x:c r="L71" s="36" t="str">
        <x:f>IF(K71="","",K71*IF(M71="USD",N71,1))</x:f>
      </x:c>
      <x:c r="M71" s="22"/>
      <x:c r="N71" s="36" t="n">
        <x:f>IF(M71="USD",Settings!$B$7,1)</x:f>
        <x:v>1</x:v>
      </x:c>
      <x:c r="O71" s="22"/>
      <x:c r="P71" s="22"/>
      <x:c r="Q71" s="22"/>
      <x:c r="R71" s="22"/>
      <x:c r="S71" s="22"/>
      <x:c r="T71" s="22"/>
      <x:c r="U71" s="22"/>
      <x:c r="V71" s="22"/>
    </x:row>
    <x:row r="72">
      <x:c r="A72" s="22"/>
      <x:c r="B72" s="28"/>
      <x:c r="C72" s="22"/>
      <x:c r="D72" s="22"/>
      <x:c r="E72" s="22"/>
      <x:c r="F72" s="22"/>
      <x:c r="G72" s="22"/>
      <x:c r="H72" s="22"/>
      <x:c r="I72" s="22"/>
      <x:c r="J72" s="22"/>
      <x:c r="K72" s="24"/>
      <x:c r="L72" s="36" t="str">
        <x:f>IF(K72="","",K72*IF(M72="USD",N72,1))</x:f>
      </x:c>
      <x:c r="M72" s="22"/>
      <x:c r="N72" s="36" t="n">
        <x:f>IF(M72="USD",Settings!$B$7,1)</x:f>
        <x:v>1</x:v>
      </x:c>
      <x:c r="O72" s="22"/>
      <x:c r="P72" s="22"/>
      <x:c r="Q72" s="22"/>
      <x:c r="R72" s="22"/>
      <x:c r="S72" s="22"/>
      <x:c r="T72" s="22"/>
      <x:c r="U72" s="22"/>
      <x:c r="V72" s="22"/>
    </x:row>
    <x:row r="73">
      <x:c r="A73" s="22"/>
      <x:c r="B73" s="28"/>
      <x:c r="C73" s="22"/>
      <x:c r="D73" s="22"/>
      <x:c r="E73" s="22"/>
      <x:c r="F73" s="22"/>
      <x:c r="G73" s="22"/>
      <x:c r="H73" s="22"/>
      <x:c r="I73" s="22"/>
      <x:c r="J73" s="22"/>
      <x:c r="K73" s="24"/>
      <x:c r="L73" s="36" t="str">
        <x:f>IF(K73="","",K73*IF(M73="USD",N73,1))</x:f>
      </x:c>
      <x:c r="M73" s="22"/>
      <x:c r="N73" s="36" t="n">
        <x:f>IF(M73="USD",Settings!$B$7,1)</x:f>
        <x:v>1</x:v>
      </x:c>
      <x:c r="O73" s="22"/>
      <x:c r="P73" s="22"/>
      <x:c r="Q73" s="22"/>
      <x:c r="R73" s="22"/>
      <x:c r="S73" s="22"/>
      <x:c r="T73" s="22"/>
      <x:c r="U73" s="22"/>
      <x:c r="V73" s="22"/>
    </x:row>
    <x:row r="74">
      <x:c r="A74" s="22"/>
      <x:c r="B74" s="28"/>
      <x:c r="C74" s="22"/>
      <x:c r="D74" s="22"/>
      <x:c r="E74" s="22"/>
      <x:c r="F74" s="22"/>
      <x:c r="G74" s="22"/>
      <x:c r="H74" s="22"/>
      <x:c r="I74" s="22"/>
      <x:c r="J74" s="22"/>
      <x:c r="K74" s="24"/>
      <x:c r="L74" s="36" t="str">
        <x:f>IF(K74="","",K74*IF(M74="USD",N74,1))</x:f>
      </x:c>
      <x:c r="M74" s="22"/>
      <x:c r="N74" s="36" t="n">
        <x:f>IF(M74="USD",Settings!$B$7,1)</x:f>
        <x:v>1</x:v>
      </x:c>
      <x:c r="O74" s="22"/>
      <x:c r="P74" s="22"/>
      <x:c r="Q74" s="22"/>
      <x:c r="R74" s="22"/>
      <x:c r="S74" s="22"/>
      <x:c r="T74" s="22"/>
      <x:c r="U74" s="22"/>
      <x:c r="V74" s="22"/>
    </x:row>
    <x:row r="75">
      <x:c r="A75" s="22"/>
      <x:c r="B75" s="28"/>
      <x:c r="C75" s="22"/>
      <x:c r="D75" s="22"/>
      <x:c r="E75" s="22"/>
      <x:c r="F75" s="22"/>
      <x:c r="G75" s="22"/>
      <x:c r="H75" s="22"/>
      <x:c r="I75" s="22"/>
      <x:c r="J75" s="22"/>
      <x:c r="K75" s="24"/>
      <x:c r="L75" s="36" t="str">
        <x:f>IF(K75="","",K75*IF(M75="USD",N75,1))</x:f>
      </x:c>
      <x:c r="M75" s="22"/>
      <x:c r="N75" s="36" t="n">
        <x:f>IF(M75="USD",Settings!$B$7,1)</x:f>
        <x:v>1</x:v>
      </x:c>
      <x:c r="O75" s="22"/>
      <x:c r="P75" s="22"/>
      <x:c r="Q75" s="22"/>
      <x:c r="R75" s="22"/>
      <x:c r="S75" s="22"/>
      <x:c r="T75" s="22"/>
      <x:c r="U75" s="22"/>
      <x:c r="V75" s="22"/>
    </x:row>
    <x:row r="76">
      <x:c r="A76" s="22"/>
      <x:c r="B76" s="28"/>
      <x:c r="C76" s="22"/>
      <x:c r="D76" s="22"/>
      <x:c r="E76" s="22"/>
      <x:c r="F76" s="22"/>
      <x:c r="G76" s="22"/>
      <x:c r="H76" s="22"/>
      <x:c r="I76" s="22"/>
      <x:c r="J76" s="22"/>
      <x:c r="K76" s="24"/>
      <x:c r="L76" s="36" t="str">
        <x:f>IF(K76="","",K76*IF(M76="USD",N76,1))</x:f>
      </x:c>
      <x:c r="M76" s="22"/>
      <x:c r="N76" s="36" t="n">
        <x:f>IF(M76="USD",Settings!$B$7,1)</x:f>
        <x:v>1</x:v>
      </x:c>
      <x:c r="O76" s="22"/>
      <x:c r="P76" s="22"/>
      <x:c r="Q76" s="22"/>
      <x:c r="R76" s="22"/>
      <x:c r="S76" s="22"/>
      <x:c r="T76" s="22"/>
      <x:c r="U76" s="22"/>
      <x:c r="V76" s="22"/>
    </x:row>
    <x:row r="77">
      <x:c r="A77" s="22"/>
      <x:c r="B77" s="28"/>
      <x:c r="C77" s="22"/>
      <x:c r="D77" s="22"/>
      <x:c r="E77" s="22"/>
      <x:c r="F77" s="22"/>
      <x:c r="G77" s="22"/>
      <x:c r="H77" s="22"/>
      <x:c r="I77" s="22"/>
      <x:c r="J77" s="22"/>
      <x:c r="K77" s="24"/>
      <x:c r="L77" s="36" t="str">
        <x:f>IF(K77="","",K77*IF(M77="USD",N77,1))</x:f>
      </x:c>
      <x:c r="M77" s="22"/>
      <x:c r="N77" s="36" t="n">
        <x:f>IF(M77="USD",Settings!$B$7,1)</x:f>
        <x:v>1</x:v>
      </x:c>
      <x:c r="O77" s="22"/>
      <x:c r="P77" s="22"/>
      <x:c r="Q77" s="22"/>
      <x:c r="R77" s="22"/>
      <x:c r="S77" s="22"/>
      <x:c r="T77" s="22"/>
      <x:c r="U77" s="22"/>
      <x:c r="V77" s="22"/>
    </x:row>
    <x:row r="78">
      <x:c r="A78" s="22"/>
      <x:c r="B78" s="28"/>
      <x:c r="C78" s="22"/>
      <x:c r="D78" s="22"/>
      <x:c r="E78" s="22"/>
      <x:c r="F78" s="22"/>
      <x:c r="G78" s="22"/>
      <x:c r="H78" s="22"/>
      <x:c r="I78" s="22"/>
      <x:c r="J78" s="22"/>
      <x:c r="K78" s="24"/>
      <x:c r="L78" s="36" t="str">
        <x:f>IF(K78="","",K78*IF(M78="USD",N78,1))</x:f>
      </x:c>
      <x:c r="M78" s="22"/>
      <x:c r="N78" s="36" t="n">
        <x:f>IF(M78="USD",Settings!$B$7,1)</x:f>
        <x:v>1</x:v>
      </x:c>
      <x:c r="O78" s="22"/>
      <x:c r="P78" s="22"/>
      <x:c r="Q78" s="22"/>
      <x:c r="R78" s="22"/>
      <x:c r="S78" s="22"/>
      <x:c r="T78" s="22"/>
      <x:c r="U78" s="22"/>
      <x:c r="V78" s="22"/>
    </x:row>
    <x:row r="79">
      <x:c r="A79" s="22"/>
      <x:c r="B79" s="28"/>
      <x:c r="C79" s="22"/>
      <x:c r="D79" s="22"/>
      <x:c r="E79" s="22"/>
      <x:c r="F79" s="22"/>
      <x:c r="G79" s="22"/>
      <x:c r="H79" s="22"/>
      <x:c r="I79" s="22"/>
      <x:c r="J79" s="22"/>
      <x:c r="K79" s="24"/>
      <x:c r="L79" s="36" t="str">
        <x:f>IF(K79="","",K79*IF(M79="USD",N79,1))</x:f>
      </x:c>
      <x:c r="M79" s="22"/>
      <x:c r="N79" s="36" t="n">
        <x:f>IF(M79="USD",Settings!$B$7,1)</x:f>
        <x:v>1</x:v>
      </x:c>
      <x:c r="O79" s="22"/>
      <x:c r="P79" s="22"/>
      <x:c r="Q79" s="22"/>
      <x:c r="R79" s="22"/>
      <x:c r="S79" s="22"/>
      <x:c r="T79" s="22"/>
      <x:c r="U79" s="22"/>
      <x:c r="V79" s="22"/>
    </x:row>
    <x:row r="80">
      <x:c r="A80" s="22"/>
      <x:c r="B80" s="28"/>
      <x:c r="C80" s="22"/>
      <x:c r="D80" s="22"/>
      <x:c r="E80" s="22"/>
      <x:c r="F80" s="22"/>
      <x:c r="G80" s="22"/>
      <x:c r="H80" s="22"/>
      <x:c r="I80" s="22"/>
      <x:c r="J80" s="22"/>
      <x:c r="K80" s="24"/>
      <x:c r="L80" s="36" t="str">
        <x:f>IF(K80="","",K80*IF(M80="USD",N80,1))</x:f>
      </x:c>
      <x:c r="M80" s="22"/>
      <x:c r="N80" s="36" t="n">
        <x:f>IF(M80="USD",Settings!$B$7,1)</x:f>
        <x:v>1</x:v>
      </x:c>
      <x:c r="O80" s="22"/>
      <x:c r="P80" s="22"/>
      <x:c r="Q80" s="22"/>
      <x:c r="R80" s="22"/>
      <x:c r="S80" s="22"/>
      <x:c r="T80" s="22"/>
      <x:c r="U80" s="22"/>
      <x:c r="V80" s="22"/>
    </x:row>
    <x:row r="81">
      <x:c r="A81" s="22"/>
      <x:c r="B81" s="28"/>
      <x:c r="C81" s="22"/>
      <x:c r="D81" s="22"/>
      <x:c r="E81" s="22"/>
      <x:c r="F81" s="22"/>
      <x:c r="G81" s="22"/>
      <x:c r="H81" s="22"/>
      <x:c r="I81" s="22"/>
      <x:c r="J81" s="22"/>
      <x:c r="K81" s="24"/>
      <x:c r="L81" s="36" t="str">
        <x:f>IF(K81="","",K81*IF(M81="USD",N81,1))</x:f>
      </x:c>
      <x:c r="M81" s="22"/>
      <x:c r="N81" s="36" t="n">
        <x:f>IF(M81="USD",Settings!$B$7,1)</x:f>
        <x:v>1</x:v>
      </x:c>
      <x:c r="O81" s="22"/>
      <x:c r="P81" s="22"/>
      <x:c r="Q81" s="22"/>
      <x:c r="R81" s="22"/>
      <x:c r="S81" s="22"/>
      <x:c r="T81" s="22"/>
      <x:c r="U81" s="22"/>
      <x:c r="V81" s="22"/>
    </x:row>
    <x:row r="82">
      <x:c r="A82" s="22"/>
      <x:c r="B82" s="28"/>
      <x:c r="C82" s="22"/>
      <x:c r="D82" s="22"/>
      <x:c r="E82" s="22"/>
      <x:c r="F82" s="22"/>
      <x:c r="G82" s="22"/>
      <x:c r="H82" s="22"/>
      <x:c r="I82" s="22"/>
      <x:c r="J82" s="22"/>
      <x:c r="K82" s="24"/>
      <x:c r="L82" s="36" t="str">
        <x:f>IF(K82="","",K82*IF(M82="USD",N82,1))</x:f>
      </x:c>
      <x:c r="M82" s="22"/>
      <x:c r="N82" s="36" t="n">
        <x:f>IF(M82="USD",Settings!$B$7,1)</x:f>
        <x:v>1</x:v>
      </x:c>
      <x:c r="O82" s="22"/>
      <x:c r="P82" s="22"/>
      <x:c r="Q82" s="22"/>
      <x:c r="R82" s="22"/>
      <x:c r="S82" s="22"/>
      <x:c r="T82" s="22"/>
      <x:c r="U82" s="22"/>
      <x:c r="V82" s="22"/>
    </x:row>
    <x:row r="83">
      <x:c r="A83" s="22"/>
      <x:c r="B83" s="28"/>
      <x:c r="C83" s="22"/>
      <x:c r="D83" s="22"/>
      <x:c r="E83" s="22"/>
      <x:c r="F83" s="22"/>
      <x:c r="G83" s="22"/>
      <x:c r="H83" s="22"/>
      <x:c r="I83" s="22"/>
      <x:c r="J83" s="22"/>
      <x:c r="K83" s="24"/>
      <x:c r="L83" s="36" t="str">
        <x:f>IF(K83="","",K83*IF(M83="USD",N83,1))</x:f>
      </x:c>
      <x:c r="M83" s="22"/>
      <x:c r="N83" s="36" t="n">
        <x:f>IF(M83="USD",Settings!$B$7,1)</x:f>
        <x:v>1</x:v>
      </x:c>
      <x:c r="O83" s="22"/>
      <x:c r="P83" s="22"/>
      <x:c r="Q83" s="22"/>
      <x:c r="R83" s="22"/>
      <x:c r="S83" s="22"/>
      <x:c r="T83" s="22"/>
      <x:c r="U83" s="22"/>
      <x:c r="V83" s="22"/>
    </x:row>
    <x:row r="84">
      <x:c r="A84" s="22"/>
      <x:c r="B84" s="28"/>
      <x:c r="C84" s="22"/>
      <x:c r="D84" s="22"/>
      <x:c r="E84" s="22"/>
      <x:c r="F84" s="22"/>
      <x:c r="G84" s="22"/>
      <x:c r="H84" s="22"/>
      <x:c r="I84" s="22"/>
      <x:c r="J84" s="22"/>
      <x:c r="K84" s="24"/>
      <x:c r="L84" s="36" t="str">
        <x:f>IF(K84="","",K84*IF(M84="USD",N84,1))</x:f>
      </x:c>
      <x:c r="M84" s="22"/>
      <x:c r="N84" s="36" t="n">
        <x:f>IF(M84="USD",Settings!$B$7,1)</x:f>
        <x:v>1</x:v>
      </x:c>
      <x:c r="O84" s="22"/>
      <x:c r="P84" s="22"/>
      <x:c r="Q84" s="22"/>
      <x:c r="R84" s="22"/>
      <x:c r="S84" s="22"/>
      <x:c r="T84" s="22"/>
      <x:c r="U84" s="22"/>
      <x:c r="V84" s="22"/>
    </x:row>
    <x:row r="85">
      <x:c r="A85" s="22"/>
      <x:c r="B85" s="28"/>
      <x:c r="C85" s="22"/>
      <x:c r="D85" s="22"/>
      <x:c r="E85" s="22"/>
      <x:c r="F85" s="22"/>
      <x:c r="G85" s="22"/>
      <x:c r="H85" s="22"/>
      <x:c r="I85" s="22"/>
      <x:c r="J85" s="22"/>
      <x:c r="K85" s="24"/>
      <x:c r="L85" s="36" t="str">
        <x:f>IF(K85="","",K85*IF(M85="USD",N85,1))</x:f>
      </x:c>
      <x:c r="M85" s="22"/>
      <x:c r="N85" s="36" t="n">
        <x:f>IF(M85="USD",Settings!$B$7,1)</x:f>
        <x:v>1</x:v>
      </x:c>
      <x:c r="O85" s="22"/>
      <x:c r="P85" s="22"/>
      <x:c r="Q85" s="22"/>
      <x:c r="R85" s="22"/>
      <x:c r="S85" s="22"/>
      <x:c r="T85" s="22"/>
      <x:c r="U85" s="22"/>
      <x:c r="V85" s="22"/>
    </x:row>
    <x:row r="86">
      <x:c r="A86" s="22"/>
      <x:c r="B86" s="28"/>
      <x:c r="C86" s="22"/>
      <x:c r="D86" s="22"/>
      <x:c r="E86" s="22"/>
      <x:c r="F86" s="22"/>
      <x:c r="G86" s="22"/>
      <x:c r="H86" s="22"/>
      <x:c r="I86" s="22"/>
      <x:c r="J86" s="22"/>
      <x:c r="K86" s="24"/>
      <x:c r="L86" s="36" t="str">
        <x:f>IF(K86="","",K86*IF(M86="USD",N86,1))</x:f>
      </x:c>
      <x:c r="M86" s="22"/>
      <x:c r="N86" s="36" t="n">
        <x:f>IF(M86="USD",Settings!$B$7,1)</x:f>
        <x:v>1</x:v>
      </x:c>
      <x:c r="O86" s="22"/>
      <x:c r="P86" s="22"/>
      <x:c r="Q86" s="22"/>
      <x:c r="R86" s="22"/>
      <x:c r="S86" s="22"/>
      <x:c r="T86" s="22"/>
      <x:c r="U86" s="22"/>
      <x:c r="V86" s="22"/>
    </x:row>
    <x:row r="87">
      <x:c r="A87" s="22"/>
      <x:c r="B87" s="28"/>
      <x:c r="C87" s="22"/>
      <x:c r="D87" s="22"/>
      <x:c r="E87" s="22"/>
      <x:c r="F87" s="22"/>
      <x:c r="G87" s="22"/>
      <x:c r="H87" s="22"/>
      <x:c r="I87" s="22"/>
      <x:c r="J87" s="22"/>
      <x:c r="K87" s="24"/>
      <x:c r="L87" s="36" t="str">
        <x:f>IF(K87="","",K87*IF(M87="USD",N87,1))</x:f>
      </x:c>
      <x:c r="M87" s="22"/>
      <x:c r="N87" s="36" t="n">
        <x:f>IF(M87="USD",Settings!$B$7,1)</x:f>
        <x:v>1</x:v>
      </x:c>
      <x:c r="O87" s="22"/>
      <x:c r="P87" s="22"/>
      <x:c r="Q87" s="22"/>
      <x:c r="R87" s="22"/>
      <x:c r="S87" s="22"/>
      <x:c r="T87" s="22"/>
      <x:c r="U87" s="22"/>
      <x:c r="V87" s="22"/>
    </x:row>
    <x:row r="88">
      <x:c r="A88" s="22"/>
      <x:c r="B88" s="28"/>
      <x:c r="C88" s="22"/>
      <x:c r="D88" s="22"/>
      <x:c r="E88" s="22"/>
      <x:c r="F88" s="22"/>
      <x:c r="G88" s="22"/>
      <x:c r="H88" s="22"/>
      <x:c r="I88" s="22"/>
      <x:c r="J88" s="22"/>
      <x:c r="K88" s="24"/>
      <x:c r="L88" s="36" t="str">
        <x:f>IF(K88="","",K88*IF(M88="USD",N88,1))</x:f>
      </x:c>
      <x:c r="M88" s="22"/>
      <x:c r="N88" s="36" t="n">
        <x:f>IF(M88="USD",Settings!$B$7,1)</x:f>
        <x:v>1</x:v>
      </x:c>
      <x:c r="O88" s="22"/>
      <x:c r="P88" s="22"/>
      <x:c r="Q88" s="22"/>
      <x:c r="R88" s="22"/>
      <x:c r="S88" s="22"/>
      <x:c r="T88" s="22"/>
      <x:c r="U88" s="22"/>
      <x:c r="V88" s="22"/>
    </x:row>
    <x:row r="89">
      <x:c r="A89" s="22"/>
      <x:c r="B89" s="28"/>
      <x:c r="C89" s="22"/>
      <x:c r="D89" s="22"/>
      <x:c r="E89" s="22"/>
      <x:c r="F89" s="22"/>
      <x:c r="G89" s="22"/>
      <x:c r="H89" s="22"/>
      <x:c r="I89" s="22"/>
      <x:c r="J89" s="22"/>
      <x:c r="K89" s="24"/>
      <x:c r="L89" s="36" t="str">
        <x:f>IF(K89="","",K89*IF(M89="USD",N89,1))</x:f>
      </x:c>
      <x:c r="M89" s="22"/>
      <x:c r="N89" s="36" t="n">
        <x:f>IF(M89="USD",Settings!$B$7,1)</x:f>
        <x:v>1</x:v>
      </x:c>
      <x:c r="O89" s="22"/>
      <x:c r="P89" s="22"/>
      <x:c r="Q89" s="22"/>
      <x:c r="R89" s="22"/>
      <x:c r="S89" s="22"/>
      <x:c r="T89" s="22"/>
      <x:c r="U89" s="22"/>
      <x:c r="V89" s="22"/>
    </x:row>
    <x:row r="90">
      <x:c r="A90" s="22"/>
      <x:c r="B90" s="28"/>
      <x:c r="C90" s="22"/>
      <x:c r="D90" s="22"/>
      <x:c r="E90" s="22"/>
      <x:c r="F90" s="22"/>
      <x:c r="G90" s="22"/>
      <x:c r="H90" s="22"/>
      <x:c r="I90" s="22"/>
      <x:c r="J90" s="22"/>
      <x:c r="K90" s="24"/>
      <x:c r="L90" s="36" t="str">
        <x:f>IF(K90="","",K90*IF(M90="USD",N90,1))</x:f>
      </x:c>
      <x:c r="M90" s="22"/>
      <x:c r="N90" s="36" t="n">
        <x:f>IF(M90="USD",Settings!$B$7,1)</x:f>
        <x:v>1</x:v>
      </x:c>
      <x:c r="O90" s="22"/>
      <x:c r="P90" s="22"/>
      <x:c r="Q90" s="22"/>
      <x:c r="R90" s="22"/>
      <x:c r="S90" s="22"/>
      <x:c r="T90" s="22"/>
      <x:c r="U90" s="22"/>
      <x:c r="V90" s="22"/>
    </x:row>
    <x:row r="91">
      <x:c r="A91" s="22"/>
      <x:c r="B91" s="28"/>
      <x:c r="C91" s="22"/>
      <x:c r="D91" s="22"/>
      <x:c r="E91" s="22"/>
      <x:c r="F91" s="22"/>
      <x:c r="G91" s="22"/>
      <x:c r="H91" s="22"/>
      <x:c r="I91" s="22"/>
      <x:c r="J91" s="22"/>
      <x:c r="K91" s="24"/>
      <x:c r="L91" s="36" t="str">
        <x:f>IF(K91="","",K91*IF(M91="USD",N91,1))</x:f>
      </x:c>
      <x:c r="M91" s="22"/>
      <x:c r="N91" s="36" t="n">
        <x:f>IF(M91="USD",Settings!$B$7,1)</x:f>
        <x:v>1</x:v>
      </x:c>
      <x:c r="O91" s="22"/>
      <x:c r="P91" s="22"/>
      <x:c r="Q91" s="22"/>
      <x:c r="R91" s="22"/>
      <x:c r="S91" s="22"/>
      <x:c r="T91" s="22"/>
      <x:c r="U91" s="22"/>
      <x:c r="V91" s="22"/>
    </x:row>
    <x:row r="92">
      <x:c r="A92" s="22"/>
      <x:c r="B92" s="28"/>
      <x:c r="C92" s="22"/>
      <x:c r="D92" s="22"/>
      <x:c r="E92" s="22"/>
      <x:c r="F92" s="22"/>
      <x:c r="G92" s="22"/>
      <x:c r="H92" s="22"/>
      <x:c r="I92" s="22"/>
      <x:c r="J92" s="22"/>
      <x:c r="K92" s="24"/>
      <x:c r="L92" s="36" t="str">
        <x:f>IF(K92="","",K92*IF(M92="USD",N92,1))</x:f>
      </x:c>
      <x:c r="M92" s="22"/>
      <x:c r="N92" s="36" t="n">
        <x:f>IF(M92="USD",Settings!$B$7,1)</x:f>
        <x:v>1</x:v>
      </x:c>
      <x:c r="O92" s="22"/>
      <x:c r="P92" s="22"/>
      <x:c r="Q92" s="22"/>
      <x:c r="R92" s="22"/>
      <x:c r="S92" s="22"/>
      <x:c r="T92" s="22"/>
      <x:c r="U92" s="22"/>
      <x:c r="V92" s="22"/>
    </x:row>
    <x:row r="93">
      <x:c r="A93" s="22"/>
      <x:c r="B93" s="28"/>
      <x:c r="C93" s="22"/>
      <x:c r="D93" s="22"/>
      <x:c r="E93" s="22"/>
      <x:c r="F93" s="22"/>
      <x:c r="G93" s="22"/>
      <x:c r="H93" s="22"/>
      <x:c r="I93" s="22"/>
      <x:c r="J93" s="22"/>
      <x:c r="K93" s="24"/>
      <x:c r="L93" s="36" t="str">
        <x:f>IF(K93="","",K93*IF(M93="USD",N93,1))</x:f>
      </x:c>
      <x:c r="M93" s="22"/>
      <x:c r="N93" s="36" t="n">
        <x:f>IF(M93="USD",Settings!$B$7,1)</x:f>
        <x:v>1</x:v>
      </x:c>
      <x:c r="O93" s="22"/>
      <x:c r="P93" s="22"/>
      <x:c r="Q93" s="22"/>
      <x:c r="R93" s="22"/>
      <x:c r="S93" s="22"/>
      <x:c r="T93" s="22"/>
      <x:c r="U93" s="22"/>
      <x:c r="V93" s="22"/>
    </x:row>
    <x:row r="94">
      <x:c r="A94" s="22"/>
      <x:c r="B94" s="28"/>
      <x:c r="C94" s="22"/>
      <x:c r="D94" s="22"/>
      <x:c r="E94" s="22"/>
      <x:c r="F94" s="22"/>
      <x:c r="G94" s="22"/>
      <x:c r="H94" s="22"/>
      <x:c r="I94" s="22"/>
      <x:c r="J94" s="22"/>
      <x:c r="K94" s="24"/>
      <x:c r="L94" s="36" t="str">
        <x:f>IF(K94="","",K94*IF(M94="USD",N94,1))</x:f>
      </x:c>
      <x:c r="M94" s="22"/>
      <x:c r="N94" s="36" t="n">
        <x:f>IF(M94="USD",Settings!$B$7,1)</x:f>
        <x:v>1</x:v>
      </x:c>
      <x:c r="O94" s="22"/>
      <x:c r="P94" s="22"/>
      <x:c r="Q94" s="22"/>
      <x:c r="R94" s="22"/>
      <x:c r="S94" s="22"/>
      <x:c r="T94" s="22"/>
      <x:c r="U94" s="22"/>
      <x:c r="V94" s="22"/>
    </x:row>
    <x:row r="95">
      <x:c r="A95" s="22"/>
      <x:c r="B95" s="28"/>
      <x:c r="C95" s="22"/>
      <x:c r="D95" s="22"/>
      <x:c r="E95" s="22"/>
      <x:c r="F95" s="22"/>
      <x:c r="G95" s="22"/>
      <x:c r="H95" s="22"/>
      <x:c r="I95" s="22"/>
      <x:c r="J95" s="22"/>
      <x:c r="K95" s="24"/>
      <x:c r="L95" s="36" t="str">
        <x:f>IF(K95="","",K95*IF(M95="USD",N95,1))</x:f>
      </x:c>
      <x:c r="M95" s="22"/>
      <x:c r="N95" s="36" t="n">
        <x:f>IF(M95="USD",Settings!$B$7,1)</x:f>
        <x:v>1</x:v>
      </x:c>
      <x:c r="O95" s="22"/>
      <x:c r="P95" s="22"/>
      <x:c r="Q95" s="22"/>
      <x:c r="R95" s="22"/>
      <x:c r="S95" s="22"/>
      <x:c r="T95" s="22"/>
      <x:c r="U95" s="22"/>
      <x:c r="V95" s="22"/>
    </x:row>
    <x:row r="96">
      <x:c r="A96" s="22"/>
      <x:c r="B96" s="28"/>
      <x:c r="C96" s="22"/>
      <x:c r="D96" s="22"/>
      <x:c r="E96" s="22"/>
      <x:c r="F96" s="22"/>
      <x:c r="G96" s="22"/>
      <x:c r="H96" s="22"/>
      <x:c r="I96" s="22"/>
      <x:c r="J96" s="22"/>
      <x:c r="K96" s="24"/>
      <x:c r="L96" s="36" t="str">
        <x:f>IF(K96="","",K96*IF(M96="USD",N96,1))</x:f>
      </x:c>
      <x:c r="M96" s="22"/>
      <x:c r="N96" s="36" t="n">
        <x:f>IF(M96="USD",Settings!$B$7,1)</x:f>
        <x:v>1</x:v>
      </x:c>
      <x:c r="O96" s="22"/>
      <x:c r="P96" s="22"/>
      <x:c r="Q96" s="22"/>
      <x:c r="R96" s="22"/>
      <x:c r="S96" s="22"/>
      <x:c r="T96" s="22"/>
      <x:c r="U96" s="22"/>
      <x:c r="V96" s="22"/>
    </x:row>
    <x:row r="97">
      <x:c r="A97" s="22"/>
      <x:c r="B97" s="28"/>
      <x:c r="C97" s="22"/>
      <x:c r="D97" s="22"/>
      <x:c r="E97" s="22"/>
      <x:c r="F97" s="22"/>
      <x:c r="G97" s="22"/>
      <x:c r="H97" s="22"/>
      <x:c r="I97" s="22"/>
      <x:c r="J97" s="22"/>
      <x:c r="K97" s="24"/>
      <x:c r="L97" s="36" t="str">
        <x:f>IF(K97="","",K97*IF(M97="USD",N97,1))</x:f>
      </x:c>
      <x:c r="M97" s="22"/>
      <x:c r="N97" s="36" t="n">
        <x:f>IF(M97="USD",Settings!$B$7,1)</x:f>
        <x:v>1</x:v>
      </x:c>
      <x:c r="O97" s="22"/>
      <x:c r="P97" s="22"/>
      <x:c r="Q97" s="22"/>
      <x:c r="R97" s="22"/>
      <x:c r="S97" s="22"/>
      <x:c r="T97" s="22"/>
      <x:c r="U97" s="22"/>
      <x:c r="V97" s="22"/>
    </x:row>
    <x:row r="98">
      <x:c r="A98" s="22"/>
      <x:c r="B98" s="28"/>
      <x:c r="C98" s="22"/>
      <x:c r="D98" s="22"/>
      <x:c r="E98" s="22"/>
      <x:c r="F98" s="22"/>
      <x:c r="G98" s="22"/>
      <x:c r="H98" s="22"/>
      <x:c r="I98" s="22"/>
      <x:c r="J98" s="22"/>
      <x:c r="K98" s="24"/>
      <x:c r="L98" s="36" t="str">
        <x:f>IF(K98="","",K98*IF(M98="USD",N98,1))</x:f>
      </x:c>
      <x:c r="M98" s="22"/>
      <x:c r="N98" s="36" t="n">
        <x:f>IF(M98="USD",Settings!$B$7,1)</x:f>
        <x:v>1</x:v>
      </x:c>
      <x:c r="O98" s="22"/>
      <x:c r="P98" s="22"/>
      <x:c r="Q98" s="22"/>
      <x:c r="R98" s="22"/>
      <x:c r="S98" s="22"/>
      <x:c r="T98" s="22"/>
      <x:c r="U98" s="22"/>
      <x:c r="V98" s="22"/>
    </x:row>
    <x:row r="99">
      <x:c r="A99" s="22"/>
      <x:c r="B99" s="28"/>
      <x:c r="C99" s="22"/>
      <x:c r="D99" s="22"/>
      <x:c r="E99" s="22"/>
      <x:c r="F99" s="22"/>
      <x:c r="G99" s="22"/>
      <x:c r="H99" s="22"/>
      <x:c r="I99" s="22"/>
      <x:c r="J99" s="22"/>
      <x:c r="K99" s="24"/>
      <x:c r="L99" s="36" t="str">
        <x:f>IF(K99="","",K99*IF(M99="USD",N99,1))</x:f>
      </x:c>
      <x:c r="M99" s="22"/>
      <x:c r="N99" s="36" t="n">
        <x:f>IF(M99="USD",Settings!$B$7,1)</x:f>
        <x:v>1</x:v>
      </x:c>
      <x:c r="O99" s="22"/>
      <x:c r="P99" s="22"/>
      <x:c r="Q99" s="22"/>
      <x:c r="R99" s="22"/>
      <x:c r="S99" s="22"/>
      <x:c r="T99" s="22"/>
      <x:c r="U99" s="22"/>
      <x:c r="V99" s="22"/>
    </x:row>
    <x:row r="100">
      <x:c r="A100" s="22"/>
      <x:c r="B100" s="28"/>
      <x:c r="C100" s="22"/>
      <x:c r="D100" s="22"/>
      <x:c r="E100" s="22"/>
      <x:c r="F100" s="22"/>
      <x:c r="G100" s="22"/>
      <x:c r="H100" s="22"/>
      <x:c r="I100" s="22"/>
      <x:c r="J100" s="22"/>
      <x:c r="K100" s="24"/>
      <x:c r="L100" s="36" t="str">
        <x:f>IF(K100="","",K100*IF(M100="USD",N100,1))</x:f>
      </x:c>
      <x:c r="M100" s="22"/>
      <x:c r="N100" s="36" t="n">
        <x:f>IF(M100="USD",Settings!$B$7,1)</x:f>
        <x:v>1</x:v>
      </x:c>
      <x:c r="O100" s="22"/>
      <x:c r="P100" s="22"/>
      <x:c r="Q100" s="22"/>
      <x:c r="R100" s="22"/>
      <x:c r="S100" s="22"/>
      <x:c r="T100" s="22"/>
      <x:c r="U100" s="22"/>
      <x:c r="V100" s="22"/>
    </x:row>
    <x:row r="101">
      <x:c r="A101" s="22"/>
      <x:c r="B101" s="28"/>
      <x:c r="C101" s="22"/>
      <x:c r="D101" s="22"/>
      <x:c r="E101" s="22"/>
      <x:c r="F101" s="22"/>
      <x:c r="G101" s="22"/>
      <x:c r="H101" s="22"/>
      <x:c r="I101" s="22"/>
      <x:c r="J101" s="22"/>
      <x:c r="K101" s="24"/>
      <x:c r="L101" s="36" t="str">
        <x:f>IF(K101="","",K101*IF(M101="USD",N101,1))</x:f>
      </x:c>
      <x:c r="M101" s="22"/>
      <x:c r="N101" s="36" t="n">
        <x:f>IF(M101="USD",Settings!$B$7,1)</x:f>
        <x:v>1</x:v>
      </x:c>
      <x:c r="O101" s="22"/>
      <x:c r="P101" s="22"/>
      <x:c r="Q101" s="22"/>
      <x:c r="R101" s="22"/>
      <x:c r="S101" s="22"/>
      <x:c r="T101" s="22"/>
      <x:c r="U101" s="22"/>
      <x:c r="V101" s="22"/>
    </x:row>
    <x:row r="102">
      <x:c r="A102" s="22"/>
      <x:c r="B102" s="28"/>
      <x:c r="C102" s="22"/>
      <x:c r="D102" s="22"/>
      <x:c r="E102" s="22"/>
      <x:c r="F102" s="22"/>
      <x:c r="G102" s="22"/>
      <x:c r="H102" s="22"/>
      <x:c r="I102" s="22"/>
      <x:c r="J102" s="22"/>
      <x:c r="K102" s="24"/>
      <x:c r="L102" s="36" t="str">
        <x:f>IF(K102="","",K102*IF(M102="USD",N102,1))</x:f>
      </x:c>
      <x:c r="M102" s="22"/>
      <x:c r="N102" s="36" t="n">
        <x:f>IF(M102="USD",Settings!$B$7,1)</x:f>
        <x:v>1</x:v>
      </x:c>
      <x:c r="O102" s="22"/>
      <x:c r="P102" s="22"/>
      <x:c r="Q102" s="22"/>
      <x:c r="R102" s="22"/>
      <x:c r="S102" s="22"/>
      <x:c r="T102" s="22"/>
      <x:c r="U102" s="22"/>
      <x:c r="V102" s="22"/>
    </x:row>
    <x:row r="103">
      <x:c r="A103" s="22"/>
      <x:c r="B103" s="28"/>
      <x:c r="C103" s="22"/>
      <x:c r="D103" s="22"/>
      <x:c r="E103" s="22"/>
      <x:c r="F103" s="22"/>
      <x:c r="G103" s="22"/>
      <x:c r="H103" s="22"/>
      <x:c r="I103" s="22"/>
      <x:c r="J103" s="22"/>
      <x:c r="K103" s="24"/>
      <x:c r="L103" s="36" t="str">
        <x:f>IF(K103="","",K103*IF(M103="USD",N103,1))</x:f>
      </x:c>
      <x:c r="M103" s="22"/>
      <x:c r="N103" s="36" t="n">
        <x:f>IF(M103="USD",Settings!$B$7,1)</x:f>
        <x:v>1</x:v>
      </x:c>
      <x:c r="O103" s="22"/>
      <x:c r="P103" s="22"/>
      <x:c r="Q103" s="22"/>
      <x:c r="R103" s="22"/>
      <x:c r="S103" s="22"/>
      <x:c r="T103" s="22"/>
      <x:c r="U103" s="22"/>
      <x:c r="V103" s="22"/>
    </x:row>
    <x:row r="104">
      <x:c r="A104" s="22"/>
      <x:c r="B104" s="28"/>
      <x:c r="C104" s="22"/>
      <x:c r="D104" s="22"/>
      <x:c r="E104" s="22"/>
      <x:c r="F104" s="22"/>
      <x:c r="G104" s="22"/>
      <x:c r="H104" s="22"/>
      <x:c r="I104" s="22"/>
      <x:c r="J104" s="22"/>
      <x:c r="K104" s="24"/>
      <x:c r="L104" s="36" t="str">
        <x:f>IF(K104="","",K104*IF(M104="USD",N104,1))</x:f>
      </x:c>
      <x:c r="M104" s="22"/>
      <x:c r="N104" s="36" t="n">
        <x:f>IF(M104="USD",Settings!$B$7,1)</x:f>
        <x:v>1</x:v>
      </x:c>
      <x:c r="O104" s="22"/>
      <x:c r="P104" s="22"/>
      <x:c r="Q104" s="22"/>
      <x:c r="R104" s="22"/>
      <x:c r="S104" s="22"/>
      <x:c r="T104" s="22"/>
      <x:c r="U104" s="22"/>
      <x:c r="V104" s="22"/>
    </x:row>
    <x:row r="105">
      <x:c r="A105" s="22"/>
      <x:c r="B105" s="28"/>
      <x:c r="C105" s="22"/>
      <x:c r="D105" s="22"/>
      <x:c r="E105" s="22"/>
      <x:c r="F105" s="22"/>
      <x:c r="G105" s="22"/>
      <x:c r="H105" s="22"/>
      <x:c r="I105" s="22"/>
      <x:c r="J105" s="22"/>
      <x:c r="K105" s="24"/>
      <x:c r="L105" s="36" t="str">
        <x:f>IF(K105="","",K105*IF(M105="USD",N105,1))</x:f>
      </x:c>
      <x:c r="M105" s="22"/>
      <x:c r="N105" s="36" t="n">
        <x:f>IF(M105="USD",Settings!$B$7,1)</x:f>
        <x:v>1</x:v>
      </x:c>
      <x:c r="O105" s="22"/>
      <x:c r="P105" s="22"/>
      <x:c r="Q105" s="22"/>
      <x:c r="R105" s="22"/>
      <x:c r="S105" s="22"/>
      <x:c r="T105" s="22"/>
      <x:c r="U105" s="22"/>
      <x:c r="V105" s="22"/>
    </x:row>
    <x:row r="106">
      <x:c r="A106" s="22"/>
      <x:c r="B106" s="28"/>
      <x:c r="C106" s="22"/>
      <x:c r="D106" s="22"/>
      <x:c r="E106" s="22"/>
      <x:c r="F106" s="22"/>
      <x:c r="G106" s="22"/>
      <x:c r="H106" s="22"/>
      <x:c r="I106" s="22"/>
      <x:c r="J106" s="22"/>
      <x:c r="K106" s="24"/>
      <x:c r="L106" s="36" t="str">
        <x:f>IF(K106="","",K106*IF(M106="USD",N106,1))</x:f>
      </x:c>
      <x:c r="M106" s="22"/>
      <x:c r="N106" s="36" t="n">
        <x:f>IF(M106="USD",Settings!$B$7,1)</x:f>
        <x:v>1</x:v>
      </x:c>
      <x:c r="O106" s="22"/>
      <x:c r="P106" s="22"/>
      <x:c r="Q106" s="22"/>
      <x:c r="R106" s="22"/>
      <x:c r="S106" s="22"/>
      <x:c r="T106" s="22"/>
      <x:c r="U106" s="22"/>
      <x:c r="V106" s="22"/>
    </x:row>
    <x:row r="107">
      <x:c r="A107" s="22"/>
      <x:c r="B107" s="28"/>
      <x:c r="C107" s="22"/>
      <x:c r="D107" s="22"/>
      <x:c r="E107" s="22"/>
      <x:c r="F107" s="22"/>
      <x:c r="G107" s="22"/>
      <x:c r="H107" s="22"/>
      <x:c r="I107" s="22"/>
      <x:c r="J107" s="22"/>
      <x:c r="K107" s="24"/>
      <x:c r="L107" s="36" t="str">
        <x:f>IF(K107="","",K107*IF(M107="USD",N107,1))</x:f>
      </x:c>
      <x:c r="M107" s="22"/>
      <x:c r="N107" s="36" t="n">
        <x:f>IF(M107="USD",Settings!$B$7,1)</x:f>
        <x:v>1</x:v>
      </x:c>
      <x:c r="O107" s="22"/>
      <x:c r="P107" s="22"/>
      <x:c r="Q107" s="22"/>
      <x:c r="R107" s="22"/>
      <x:c r="S107" s="22"/>
      <x:c r="T107" s="22"/>
      <x:c r="U107" s="22"/>
      <x:c r="V107" s="22"/>
    </x:row>
    <x:row r="108">
      <x:c r="A108" s="22"/>
      <x:c r="B108" s="28"/>
      <x:c r="C108" s="22"/>
      <x:c r="D108" s="22"/>
      <x:c r="E108" s="22"/>
      <x:c r="F108" s="22"/>
      <x:c r="G108" s="22"/>
      <x:c r="H108" s="22"/>
      <x:c r="I108" s="22"/>
      <x:c r="J108" s="22"/>
      <x:c r="K108" s="24"/>
      <x:c r="L108" s="36" t="str">
        <x:f>IF(K108="","",K108*IF(M108="USD",N108,1))</x:f>
      </x:c>
      <x:c r="M108" s="22"/>
      <x:c r="N108" s="36" t="n">
        <x:f>IF(M108="USD",Settings!$B$7,1)</x:f>
        <x:v>1</x:v>
      </x:c>
      <x:c r="O108" s="22"/>
      <x:c r="P108" s="22"/>
      <x:c r="Q108" s="22"/>
      <x:c r="R108" s="22"/>
      <x:c r="S108" s="22"/>
      <x:c r="T108" s="22"/>
      <x:c r="U108" s="22"/>
      <x:c r="V108" s="22"/>
    </x:row>
    <x:row r="109">
      <x:c r="A109" s="22"/>
      <x:c r="B109" s="28"/>
      <x:c r="C109" s="22"/>
      <x:c r="D109" s="22"/>
      <x:c r="E109" s="22"/>
      <x:c r="F109" s="22"/>
      <x:c r="G109" s="22"/>
      <x:c r="H109" s="22"/>
      <x:c r="I109" s="22"/>
      <x:c r="J109" s="22"/>
      <x:c r="K109" s="24"/>
      <x:c r="L109" s="36" t="str">
        <x:f>IF(K109="","",K109*IF(M109="USD",N109,1))</x:f>
      </x:c>
      <x:c r="M109" s="22"/>
      <x:c r="N109" s="36" t="n">
        <x:f>IF(M109="USD",Settings!$B$7,1)</x:f>
        <x:v>1</x:v>
      </x:c>
      <x:c r="O109" s="22"/>
      <x:c r="P109" s="22"/>
      <x:c r="Q109" s="22"/>
      <x:c r="R109" s="22"/>
      <x:c r="S109" s="22"/>
      <x:c r="T109" s="22"/>
      <x:c r="U109" s="22"/>
      <x:c r="V109" s="22"/>
    </x:row>
    <x:row r="110">
      <x:c r="A110" s="22"/>
      <x:c r="B110" s="28"/>
      <x:c r="C110" s="22"/>
      <x:c r="D110" s="22"/>
      <x:c r="E110" s="22"/>
      <x:c r="F110" s="22"/>
      <x:c r="G110" s="22"/>
      <x:c r="H110" s="22"/>
      <x:c r="I110" s="22"/>
      <x:c r="J110" s="22"/>
      <x:c r="K110" s="24"/>
      <x:c r="L110" s="36" t="str">
        <x:f>IF(K110="","",K110*IF(M110="USD",N110,1))</x:f>
      </x:c>
      <x:c r="M110" s="22"/>
      <x:c r="N110" s="36" t="n">
        <x:f>IF(M110="USD",Settings!$B$7,1)</x:f>
        <x:v>1</x:v>
      </x:c>
      <x:c r="O110" s="22"/>
      <x:c r="P110" s="22"/>
      <x:c r="Q110" s="22"/>
      <x:c r="R110" s="22"/>
      <x:c r="S110" s="22"/>
      <x:c r="T110" s="22"/>
      <x:c r="U110" s="22"/>
      <x:c r="V110" s="22"/>
    </x:row>
    <x:row r="111">
      <x:c r="A111" s="22"/>
      <x:c r="B111" s="28"/>
      <x:c r="C111" s="22"/>
      <x:c r="D111" s="22"/>
      <x:c r="E111" s="22"/>
      <x:c r="F111" s="22"/>
      <x:c r="G111" s="22"/>
      <x:c r="H111" s="22"/>
      <x:c r="I111" s="22"/>
      <x:c r="J111" s="22"/>
      <x:c r="K111" s="24"/>
      <x:c r="L111" s="36" t="str">
        <x:f>IF(K111="","",K111*IF(M111="USD",N111,1))</x:f>
      </x:c>
      <x:c r="M111" s="22"/>
      <x:c r="N111" s="36" t="n">
        <x:f>IF(M111="USD",Settings!$B$7,1)</x:f>
        <x:v>1</x:v>
      </x:c>
      <x:c r="O111" s="22"/>
      <x:c r="P111" s="22"/>
      <x:c r="Q111" s="22"/>
      <x:c r="R111" s="22"/>
      <x:c r="S111" s="22"/>
      <x:c r="T111" s="22"/>
      <x:c r="U111" s="22"/>
      <x:c r="V111" s="22"/>
    </x:row>
    <x:row r="112">
      <x:c r="A112" s="22"/>
      <x:c r="B112" s="28"/>
      <x:c r="C112" s="22"/>
      <x:c r="D112" s="22"/>
      <x:c r="E112" s="22"/>
      <x:c r="F112" s="22"/>
      <x:c r="G112" s="22"/>
      <x:c r="H112" s="22"/>
      <x:c r="I112" s="22"/>
      <x:c r="J112" s="22"/>
      <x:c r="K112" s="24"/>
      <x:c r="L112" s="36" t="str">
        <x:f>IF(K112="","",K112*IF(M112="USD",N112,1))</x:f>
      </x:c>
      <x:c r="M112" s="22"/>
      <x:c r="N112" s="36" t="n">
        <x:f>IF(M112="USD",Settings!$B$7,1)</x:f>
        <x:v>1</x:v>
      </x:c>
      <x:c r="O112" s="22"/>
      <x:c r="P112" s="22"/>
      <x:c r="Q112" s="22"/>
      <x:c r="R112" s="22"/>
      <x:c r="S112" s="22"/>
      <x:c r="T112" s="22"/>
      <x:c r="U112" s="22"/>
      <x:c r="V112" s="22"/>
    </x:row>
    <x:row r="113">
      <x:c r="A113" s="22"/>
      <x:c r="B113" s="28"/>
      <x:c r="C113" s="22"/>
      <x:c r="D113" s="22"/>
      <x:c r="E113" s="22"/>
      <x:c r="F113" s="22"/>
      <x:c r="G113" s="22"/>
      <x:c r="H113" s="22"/>
      <x:c r="I113" s="22"/>
      <x:c r="J113" s="22"/>
      <x:c r="K113" s="24"/>
      <x:c r="L113" s="36" t="str">
        <x:f>IF(K113="","",K113*IF(M113="USD",N113,1))</x:f>
      </x:c>
      <x:c r="M113" s="22"/>
      <x:c r="N113" s="36" t="n">
        <x:f>IF(M113="USD",Settings!$B$7,1)</x:f>
        <x:v>1</x:v>
      </x:c>
      <x:c r="O113" s="22"/>
      <x:c r="P113" s="22"/>
      <x:c r="Q113" s="22"/>
      <x:c r="R113" s="22"/>
      <x:c r="S113" s="22"/>
      <x:c r="T113" s="22"/>
      <x:c r="U113" s="22"/>
      <x:c r="V113" s="22"/>
    </x:row>
    <x:row r="114">
      <x:c r="A114" s="22"/>
      <x:c r="B114" s="28"/>
      <x:c r="C114" s="22"/>
      <x:c r="D114" s="22"/>
      <x:c r="E114" s="22"/>
      <x:c r="F114" s="22"/>
      <x:c r="G114" s="22"/>
      <x:c r="H114" s="22"/>
      <x:c r="I114" s="22"/>
      <x:c r="J114" s="22"/>
      <x:c r="K114" s="24"/>
      <x:c r="L114" s="36" t="str">
        <x:f>IF(K114="","",K114*IF(M114="USD",N114,1))</x:f>
      </x:c>
      <x:c r="M114" s="22"/>
      <x:c r="N114" s="36" t="n">
        <x:f>IF(M114="USD",Settings!$B$7,1)</x:f>
        <x:v>1</x:v>
      </x:c>
      <x:c r="O114" s="22"/>
      <x:c r="P114" s="22"/>
      <x:c r="Q114" s="22"/>
      <x:c r="R114" s="22"/>
      <x:c r="S114" s="22"/>
      <x:c r="T114" s="22"/>
      <x:c r="U114" s="22"/>
      <x:c r="V114" s="22"/>
    </x:row>
    <x:row r="115">
      <x:c r="A115" s="22"/>
      <x:c r="B115" s="28"/>
      <x:c r="C115" s="22"/>
      <x:c r="D115" s="22"/>
      <x:c r="E115" s="22"/>
      <x:c r="F115" s="22"/>
      <x:c r="G115" s="22"/>
      <x:c r="H115" s="22"/>
      <x:c r="I115" s="22"/>
      <x:c r="J115" s="22"/>
      <x:c r="K115" s="24"/>
      <x:c r="L115" s="36" t="str">
        <x:f>IF(K115="","",K115*IF(M115="USD",N115,1))</x:f>
      </x:c>
      <x:c r="M115" s="22"/>
      <x:c r="N115" s="36" t="n">
        <x:f>IF(M115="USD",Settings!$B$7,1)</x:f>
        <x:v>1</x:v>
      </x:c>
      <x:c r="O115" s="22"/>
      <x:c r="P115" s="22"/>
      <x:c r="Q115" s="22"/>
      <x:c r="R115" s="22"/>
      <x:c r="S115" s="22"/>
      <x:c r="T115" s="22"/>
      <x:c r="U115" s="22"/>
      <x:c r="V115" s="22"/>
    </x:row>
    <x:row r="116">
      <x:c r="A116" s="22"/>
      <x:c r="B116" s="28"/>
      <x:c r="C116" s="22"/>
      <x:c r="D116" s="22"/>
      <x:c r="E116" s="22"/>
      <x:c r="F116" s="22"/>
      <x:c r="G116" s="22"/>
      <x:c r="H116" s="22"/>
      <x:c r="I116" s="22"/>
      <x:c r="J116" s="22"/>
      <x:c r="K116" s="24"/>
      <x:c r="L116" s="36" t="str">
        <x:f>IF(K116="","",K116*IF(M116="USD",N116,1))</x:f>
      </x:c>
      <x:c r="M116" s="22"/>
      <x:c r="N116" s="36" t="n">
        <x:f>IF(M116="USD",Settings!$B$7,1)</x:f>
        <x:v>1</x:v>
      </x:c>
      <x:c r="O116" s="22"/>
      <x:c r="P116" s="22"/>
      <x:c r="Q116" s="22"/>
      <x:c r="R116" s="22"/>
      <x:c r="S116" s="22"/>
      <x:c r="T116" s="22"/>
      <x:c r="U116" s="22"/>
      <x:c r="V116" s="22"/>
    </x:row>
    <x:row r="117">
      <x:c r="A117" s="22"/>
      <x:c r="B117" s="28"/>
      <x:c r="C117" s="22"/>
      <x:c r="D117" s="22"/>
      <x:c r="E117" s="22"/>
      <x:c r="F117" s="22"/>
      <x:c r="G117" s="22"/>
      <x:c r="H117" s="22"/>
      <x:c r="I117" s="22"/>
      <x:c r="J117" s="22"/>
      <x:c r="K117" s="24"/>
      <x:c r="L117" s="36" t="str">
        <x:f>IF(K117="","",K117*IF(M117="USD",N117,1))</x:f>
      </x:c>
      <x:c r="M117" s="22"/>
      <x:c r="N117" s="36" t="n">
        <x:f>IF(M117="USD",Settings!$B$7,1)</x:f>
        <x:v>1</x:v>
      </x:c>
      <x:c r="O117" s="22"/>
      <x:c r="P117" s="22"/>
      <x:c r="Q117" s="22"/>
      <x:c r="R117" s="22"/>
      <x:c r="S117" s="22"/>
      <x:c r="T117" s="22"/>
      <x:c r="U117" s="22"/>
      <x:c r="V117" s="22"/>
    </x:row>
    <x:row r="118">
      <x:c r="A118" s="22"/>
      <x:c r="B118" s="28"/>
      <x:c r="C118" s="22"/>
      <x:c r="D118" s="22"/>
      <x:c r="E118" s="22"/>
      <x:c r="F118" s="22"/>
      <x:c r="G118" s="22"/>
      <x:c r="H118" s="22"/>
      <x:c r="I118" s="22"/>
      <x:c r="J118" s="22"/>
      <x:c r="K118" s="24"/>
      <x:c r="L118" s="36" t="str">
        <x:f>IF(K118="","",K118*IF(M118="USD",N118,1))</x:f>
      </x:c>
      <x:c r="M118" s="22"/>
      <x:c r="N118" s="36" t="n">
        <x:f>IF(M118="USD",Settings!$B$7,1)</x:f>
        <x:v>1</x:v>
      </x:c>
      <x:c r="O118" s="22"/>
      <x:c r="P118" s="22"/>
      <x:c r="Q118" s="22"/>
      <x:c r="R118" s="22"/>
      <x:c r="S118" s="22"/>
      <x:c r="T118" s="22"/>
      <x:c r="U118" s="22"/>
      <x:c r="V118" s="22"/>
    </x:row>
    <x:row r="119">
      <x:c r="A119" s="22"/>
      <x:c r="B119" s="28"/>
      <x:c r="C119" s="22"/>
      <x:c r="D119" s="22"/>
      <x:c r="E119" s="22"/>
      <x:c r="F119" s="22"/>
      <x:c r="G119" s="22"/>
      <x:c r="H119" s="22"/>
      <x:c r="I119" s="22"/>
      <x:c r="J119" s="22"/>
      <x:c r="K119" s="24"/>
      <x:c r="L119" s="36" t="str">
        <x:f>IF(K119="","",K119*IF(M119="USD",N119,1))</x:f>
      </x:c>
      <x:c r="M119" s="22"/>
      <x:c r="N119" s="36" t="n">
        <x:f>IF(M119="USD",Settings!$B$7,1)</x:f>
        <x:v>1</x:v>
      </x:c>
      <x:c r="O119" s="22"/>
      <x:c r="P119" s="22"/>
      <x:c r="Q119" s="22"/>
      <x:c r="R119" s="22"/>
      <x:c r="S119" s="22"/>
      <x:c r="T119" s="22"/>
      <x:c r="U119" s="22"/>
      <x:c r="V119" s="22"/>
    </x:row>
    <x:row r="120">
      <x:c r="A120" s="22"/>
      <x:c r="B120" s="28"/>
      <x:c r="C120" s="22"/>
      <x:c r="D120" s="22"/>
      <x:c r="E120" s="22"/>
      <x:c r="F120" s="22"/>
      <x:c r="G120" s="22"/>
      <x:c r="H120" s="22"/>
      <x:c r="I120" s="22"/>
      <x:c r="J120" s="22"/>
      <x:c r="K120" s="24"/>
      <x:c r="L120" s="36" t="str">
        <x:f>IF(K120="","",K120*IF(M120="USD",N120,1))</x:f>
      </x:c>
      <x:c r="M120" s="22"/>
      <x:c r="N120" s="36" t="n">
        <x:f>IF(M120="USD",Settings!$B$7,1)</x:f>
        <x:v>1</x:v>
      </x:c>
      <x:c r="O120" s="22"/>
      <x:c r="P120" s="22"/>
      <x:c r="Q120" s="22"/>
      <x:c r="R120" s="22"/>
      <x:c r="S120" s="22"/>
      <x:c r="T120" s="22"/>
      <x:c r="U120" s="22"/>
      <x:c r="V120" s="22"/>
    </x:row>
    <x:row r="121">
      <x:c r="A121" s="22"/>
      <x:c r="B121" s="28"/>
      <x:c r="C121" s="22"/>
      <x:c r="D121" s="22"/>
      <x:c r="E121" s="22"/>
      <x:c r="F121" s="22"/>
      <x:c r="G121" s="22"/>
      <x:c r="H121" s="22"/>
      <x:c r="I121" s="22"/>
      <x:c r="J121" s="22"/>
      <x:c r="K121" s="24"/>
      <x:c r="L121" s="36" t="str">
        <x:f>IF(K121="","",K121*IF(M121="USD",N121,1))</x:f>
      </x:c>
      <x:c r="M121" s="22"/>
      <x:c r="N121" s="36" t="n">
        <x:f>IF(M121="USD",Settings!$B$7,1)</x:f>
        <x:v>1</x:v>
      </x:c>
      <x:c r="O121" s="22"/>
      <x:c r="P121" s="22"/>
      <x:c r="Q121" s="22"/>
      <x:c r="R121" s="22"/>
      <x:c r="S121" s="22"/>
      <x:c r="T121" s="22"/>
      <x:c r="U121" s="22"/>
      <x:c r="V121" s="22"/>
    </x:row>
    <x:row r="122">
      <x:c r="A122" s="22"/>
      <x:c r="B122" s="28"/>
      <x:c r="C122" s="22"/>
      <x:c r="D122" s="22"/>
      <x:c r="E122" s="22"/>
      <x:c r="F122" s="22"/>
      <x:c r="G122" s="22"/>
      <x:c r="H122" s="22"/>
      <x:c r="I122" s="22"/>
      <x:c r="J122" s="22"/>
      <x:c r="K122" s="24"/>
      <x:c r="L122" s="36" t="str">
        <x:f>IF(K122="","",K122*IF(M122="USD",N122,1))</x:f>
      </x:c>
      <x:c r="M122" s="22"/>
      <x:c r="N122" s="36" t="n">
        <x:f>IF(M122="USD",Settings!$B$7,1)</x:f>
        <x:v>1</x:v>
      </x:c>
      <x:c r="O122" s="22"/>
      <x:c r="P122" s="22"/>
      <x:c r="Q122" s="22"/>
      <x:c r="R122" s="22"/>
      <x:c r="S122" s="22"/>
      <x:c r="T122" s="22"/>
      <x:c r="U122" s="22"/>
      <x:c r="V122" s="22"/>
    </x:row>
    <x:row r="123">
      <x:c r="A123" s="22"/>
      <x:c r="B123" s="28"/>
      <x:c r="C123" s="22"/>
      <x:c r="D123" s="22"/>
      <x:c r="E123" s="22"/>
      <x:c r="F123" s="22"/>
      <x:c r="G123" s="22"/>
      <x:c r="H123" s="22"/>
      <x:c r="I123" s="22"/>
      <x:c r="J123" s="22"/>
      <x:c r="K123" s="24"/>
      <x:c r="L123" s="36" t="str">
        <x:f>IF(K123="","",K123*IF(M123="USD",N123,1))</x:f>
      </x:c>
      <x:c r="M123" s="22"/>
      <x:c r="N123" s="36" t="n">
        <x:f>IF(M123="USD",Settings!$B$7,1)</x:f>
        <x:v>1</x:v>
      </x:c>
      <x:c r="O123" s="22"/>
      <x:c r="P123" s="22"/>
      <x:c r="Q123" s="22"/>
      <x:c r="R123" s="22"/>
      <x:c r="S123" s="22"/>
      <x:c r="T123" s="22"/>
      <x:c r="U123" s="22"/>
      <x:c r="V123" s="22"/>
    </x:row>
    <x:row r="124">
      <x:c r="A124" s="22"/>
      <x:c r="B124" s="28"/>
      <x:c r="C124" s="22"/>
      <x:c r="D124" s="22"/>
      <x:c r="E124" s="22"/>
      <x:c r="F124" s="22"/>
      <x:c r="G124" s="22"/>
      <x:c r="H124" s="22"/>
      <x:c r="I124" s="22"/>
      <x:c r="J124" s="22"/>
      <x:c r="K124" s="24"/>
      <x:c r="L124" s="36" t="str">
        <x:f>IF(K124="","",K124*IF(M124="USD",N124,1))</x:f>
      </x:c>
      <x:c r="M124" s="22"/>
      <x:c r="N124" s="36" t="n">
        <x:f>IF(M124="USD",Settings!$B$7,1)</x:f>
        <x:v>1</x:v>
      </x:c>
      <x:c r="O124" s="22"/>
      <x:c r="P124" s="22"/>
      <x:c r="Q124" s="22"/>
      <x:c r="R124" s="22"/>
      <x:c r="S124" s="22"/>
      <x:c r="T124" s="22"/>
      <x:c r="U124" s="22"/>
      <x:c r="V124" s="22"/>
    </x:row>
    <x:row r="125">
      <x:c r="A125" s="22"/>
      <x:c r="B125" s="28"/>
      <x:c r="C125" s="22"/>
      <x:c r="D125" s="22"/>
      <x:c r="E125" s="22"/>
      <x:c r="F125" s="22"/>
      <x:c r="G125" s="22"/>
      <x:c r="H125" s="22"/>
      <x:c r="I125" s="22"/>
      <x:c r="J125" s="22"/>
      <x:c r="K125" s="24"/>
      <x:c r="L125" s="36" t="str">
        <x:f>IF(K125="","",K125*IF(M125="USD",N125,1))</x:f>
      </x:c>
      <x:c r="M125" s="22"/>
      <x:c r="N125" s="36" t="n">
        <x:f>IF(M125="USD",Settings!$B$7,1)</x:f>
        <x:v>1</x:v>
      </x:c>
      <x:c r="O125" s="22"/>
      <x:c r="P125" s="22"/>
      <x:c r="Q125" s="22"/>
      <x:c r="R125" s="22"/>
      <x:c r="S125" s="22"/>
      <x:c r="T125" s="22"/>
      <x:c r="U125" s="22"/>
      <x:c r="V125" s="22"/>
    </x:row>
    <x:row r="126">
      <x:c r="A126" s="22"/>
      <x:c r="B126" s="28"/>
      <x:c r="C126" s="22"/>
      <x:c r="D126" s="22"/>
      <x:c r="E126" s="22"/>
      <x:c r="F126" s="22"/>
      <x:c r="G126" s="22"/>
      <x:c r="H126" s="22"/>
      <x:c r="I126" s="22"/>
      <x:c r="J126" s="22"/>
      <x:c r="K126" s="24"/>
      <x:c r="L126" s="36" t="str">
        <x:f>IF(K126="","",K126*IF(M126="USD",N126,1))</x:f>
      </x:c>
      <x:c r="M126" s="22"/>
      <x:c r="N126" s="36" t="n">
        <x:f>IF(M126="USD",Settings!$B$7,1)</x:f>
        <x:v>1</x:v>
      </x:c>
      <x:c r="O126" s="22"/>
      <x:c r="P126" s="22"/>
      <x:c r="Q126" s="22"/>
      <x:c r="R126" s="22"/>
      <x:c r="S126" s="22"/>
      <x:c r="T126" s="22"/>
      <x:c r="U126" s="22"/>
      <x:c r="V126" s="22"/>
    </x:row>
    <x:row r="127">
      <x:c r="A127" s="22"/>
      <x:c r="B127" s="28"/>
      <x:c r="C127" s="22"/>
      <x:c r="D127" s="22"/>
      <x:c r="E127" s="22"/>
      <x:c r="F127" s="22"/>
      <x:c r="G127" s="22"/>
      <x:c r="H127" s="22"/>
      <x:c r="I127" s="22"/>
      <x:c r="J127" s="22"/>
      <x:c r="K127" s="24"/>
      <x:c r="L127" s="36" t="str">
        <x:f>IF(K127="","",K127*IF(M127="USD",N127,1))</x:f>
      </x:c>
      <x:c r="M127" s="22"/>
      <x:c r="N127" s="36" t="n">
        <x:f>IF(M127="USD",Settings!$B$7,1)</x:f>
        <x:v>1</x:v>
      </x:c>
      <x:c r="O127" s="22"/>
      <x:c r="P127" s="22"/>
      <x:c r="Q127" s="22"/>
      <x:c r="R127" s="22"/>
      <x:c r="S127" s="22"/>
      <x:c r="T127" s="22"/>
      <x:c r="U127" s="22"/>
      <x:c r="V127" s="22"/>
    </x:row>
    <x:row r="128">
      <x:c r="A128" s="22"/>
      <x:c r="B128" s="28"/>
      <x:c r="C128" s="22"/>
      <x:c r="D128" s="22"/>
      <x:c r="E128" s="22"/>
      <x:c r="F128" s="22"/>
      <x:c r="G128" s="22"/>
      <x:c r="H128" s="22"/>
      <x:c r="I128" s="22"/>
      <x:c r="J128" s="22"/>
      <x:c r="K128" s="24"/>
      <x:c r="L128" s="36" t="str">
        <x:f>IF(K128="","",K128*IF(M128="USD",N128,1))</x:f>
      </x:c>
      <x:c r="M128" s="22"/>
      <x:c r="N128" s="36" t="n">
        <x:f>IF(M128="USD",Settings!$B$7,1)</x:f>
        <x:v>1</x:v>
      </x:c>
      <x:c r="O128" s="22"/>
      <x:c r="P128" s="22"/>
      <x:c r="Q128" s="22"/>
      <x:c r="R128" s="22"/>
      <x:c r="S128" s="22"/>
      <x:c r="T128" s="22"/>
      <x:c r="U128" s="22"/>
      <x:c r="V128" s="22"/>
    </x:row>
    <x:row r="129">
      <x:c r="A129" s="22"/>
      <x:c r="B129" s="28"/>
      <x:c r="C129" s="22"/>
      <x:c r="D129" s="22"/>
      <x:c r="E129" s="22"/>
      <x:c r="F129" s="22"/>
      <x:c r="G129" s="22"/>
      <x:c r="H129" s="22"/>
      <x:c r="I129" s="22"/>
      <x:c r="J129" s="22"/>
      <x:c r="K129" s="24"/>
      <x:c r="L129" s="36" t="str">
        <x:f>IF(K129="","",K129*IF(M129="USD",N129,1))</x:f>
      </x:c>
      <x:c r="M129" s="22"/>
      <x:c r="N129" s="36" t="n">
        <x:f>IF(M129="USD",Settings!$B$7,1)</x:f>
        <x:v>1</x:v>
      </x:c>
      <x:c r="O129" s="22"/>
      <x:c r="P129" s="22"/>
      <x:c r="Q129" s="22"/>
      <x:c r="R129" s="22"/>
      <x:c r="S129" s="22"/>
      <x:c r="T129" s="22"/>
      <x:c r="U129" s="22"/>
      <x:c r="V129" s="22"/>
    </x:row>
    <x:row r="130">
      <x:c r="A130" s="22"/>
      <x:c r="B130" s="28"/>
      <x:c r="C130" s="22"/>
      <x:c r="D130" s="22"/>
      <x:c r="E130" s="22"/>
      <x:c r="F130" s="22"/>
      <x:c r="G130" s="22"/>
      <x:c r="H130" s="22"/>
      <x:c r="I130" s="22"/>
      <x:c r="J130" s="22"/>
      <x:c r="K130" s="24"/>
      <x:c r="L130" s="36" t="str">
        <x:f>IF(K130="","",K130*IF(M130="USD",N130,1))</x:f>
      </x:c>
      <x:c r="M130" s="22"/>
      <x:c r="N130" s="36" t="n">
        <x:f>IF(M130="USD",Settings!$B$7,1)</x:f>
        <x:v>1</x:v>
      </x:c>
      <x:c r="O130" s="22"/>
      <x:c r="P130" s="22"/>
      <x:c r="Q130" s="22"/>
      <x:c r="R130" s="22"/>
      <x:c r="S130" s="22"/>
      <x:c r="T130" s="22"/>
      <x:c r="U130" s="22"/>
      <x:c r="V130" s="22"/>
    </x:row>
    <x:row r="131">
      <x:c r="A131" s="22"/>
      <x:c r="B131" s="28"/>
      <x:c r="C131" s="22"/>
      <x:c r="D131" s="22"/>
      <x:c r="E131" s="22"/>
      <x:c r="F131" s="22"/>
      <x:c r="G131" s="22"/>
      <x:c r="H131" s="22"/>
      <x:c r="I131" s="22"/>
      <x:c r="J131" s="22"/>
      <x:c r="K131" s="24"/>
      <x:c r="L131" s="36" t="str">
        <x:f>IF(K131="","",K131*IF(M131="USD",N131,1))</x:f>
      </x:c>
      <x:c r="M131" s="22"/>
      <x:c r="N131" s="36" t="n">
        <x:f>IF(M131="USD",Settings!$B$7,1)</x:f>
        <x:v>1</x:v>
      </x:c>
      <x:c r="O131" s="22"/>
      <x:c r="P131" s="22"/>
      <x:c r="Q131" s="22"/>
      <x:c r="R131" s="22"/>
      <x:c r="S131" s="22"/>
      <x:c r="T131" s="22"/>
      <x:c r="U131" s="22"/>
      <x:c r="V131" s="22"/>
    </x:row>
    <x:row r="132">
      <x:c r="A132" s="22"/>
      <x:c r="B132" s="28"/>
      <x:c r="C132" s="22"/>
      <x:c r="D132" s="22"/>
      <x:c r="E132" s="22"/>
      <x:c r="F132" s="22"/>
      <x:c r="G132" s="22"/>
      <x:c r="H132" s="22"/>
      <x:c r="I132" s="22"/>
      <x:c r="J132" s="22"/>
      <x:c r="K132" s="24"/>
      <x:c r="L132" s="36" t="str">
        <x:f>IF(K132="","",K132*IF(M132="USD",N132,1))</x:f>
      </x:c>
      <x:c r="M132" s="22"/>
      <x:c r="N132" s="36" t="n">
        <x:f>IF(M132="USD",Settings!$B$7,1)</x:f>
        <x:v>1</x:v>
      </x:c>
      <x:c r="O132" s="22"/>
      <x:c r="P132" s="22"/>
      <x:c r="Q132" s="22"/>
      <x:c r="R132" s="22"/>
      <x:c r="S132" s="22"/>
      <x:c r="T132" s="22"/>
      <x:c r="U132" s="22"/>
      <x:c r="V132" s="22"/>
    </x:row>
    <x:row r="133">
      <x:c r="A133" s="22"/>
      <x:c r="B133" s="28"/>
      <x:c r="C133" s="22"/>
      <x:c r="D133" s="22"/>
      <x:c r="E133" s="22"/>
      <x:c r="F133" s="22"/>
      <x:c r="G133" s="22"/>
      <x:c r="H133" s="22"/>
      <x:c r="I133" s="22"/>
      <x:c r="J133" s="22"/>
      <x:c r="K133" s="24"/>
      <x:c r="L133" s="36" t="str">
        <x:f>IF(K133="","",K133*IF(M133="USD",N133,1))</x:f>
      </x:c>
      <x:c r="M133" s="22"/>
      <x:c r="N133" s="36" t="n">
        <x:f>IF(M133="USD",Settings!$B$7,1)</x:f>
        <x:v>1</x:v>
      </x:c>
      <x:c r="O133" s="22"/>
      <x:c r="P133" s="22"/>
      <x:c r="Q133" s="22"/>
      <x:c r="R133" s="22"/>
      <x:c r="S133" s="22"/>
      <x:c r="T133" s="22"/>
      <x:c r="U133" s="22"/>
      <x:c r="V133" s="22"/>
    </x:row>
    <x:row r="134">
      <x:c r="A134" s="22"/>
      <x:c r="B134" s="28"/>
      <x:c r="C134" s="22"/>
      <x:c r="D134" s="22"/>
      <x:c r="E134" s="22"/>
      <x:c r="F134" s="22"/>
      <x:c r="G134" s="22"/>
      <x:c r="H134" s="22"/>
      <x:c r="I134" s="22"/>
      <x:c r="J134" s="22"/>
      <x:c r="K134" s="24"/>
      <x:c r="L134" s="36" t="str">
        <x:f>IF(K134="","",K134*IF(M134="USD",N134,1))</x:f>
      </x:c>
      <x:c r="M134" s="22"/>
      <x:c r="N134" s="36" t="n">
        <x:f>IF(M134="USD",Settings!$B$7,1)</x:f>
        <x:v>1</x:v>
      </x:c>
      <x:c r="O134" s="22"/>
      <x:c r="P134" s="22"/>
      <x:c r="Q134" s="22"/>
      <x:c r="R134" s="22"/>
      <x:c r="S134" s="22"/>
      <x:c r="T134" s="22"/>
      <x:c r="U134" s="22"/>
      <x:c r="V134" s="22"/>
    </x:row>
    <x:row r="135">
      <x:c r="A135" s="22"/>
      <x:c r="B135" s="28"/>
      <x:c r="C135" s="22"/>
      <x:c r="D135" s="22"/>
      <x:c r="E135" s="22"/>
      <x:c r="F135" s="22"/>
      <x:c r="G135" s="22"/>
      <x:c r="H135" s="22"/>
      <x:c r="I135" s="22"/>
      <x:c r="J135" s="22"/>
      <x:c r="K135" s="24"/>
      <x:c r="L135" s="36" t="str">
        <x:f>IF(K135="","",K135*IF(M135="USD",N135,1))</x:f>
      </x:c>
      <x:c r="M135" s="22"/>
      <x:c r="N135" s="36" t="n">
        <x:f>IF(M135="USD",Settings!$B$7,1)</x:f>
        <x:v>1</x:v>
      </x:c>
      <x:c r="O135" s="22"/>
      <x:c r="P135" s="22"/>
      <x:c r="Q135" s="22"/>
      <x:c r="R135" s="22"/>
      <x:c r="S135" s="22"/>
      <x:c r="T135" s="22"/>
      <x:c r="U135" s="22"/>
      <x:c r="V135" s="22"/>
    </x:row>
    <x:row r="136">
      <x:c r="A136" s="22"/>
      <x:c r="B136" s="28"/>
      <x:c r="C136" s="22"/>
      <x:c r="D136" s="22"/>
      <x:c r="E136" s="22"/>
      <x:c r="F136" s="22"/>
      <x:c r="G136" s="22"/>
      <x:c r="H136" s="22"/>
      <x:c r="I136" s="22"/>
      <x:c r="J136" s="22"/>
      <x:c r="K136" s="24"/>
      <x:c r="L136" s="36" t="str">
        <x:f>IF(K136="","",K136*IF(M136="USD",N136,1))</x:f>
      </x:c>
      <x:c r="M136" s="22"/>
      <x:c r="N136" s="36" t="n">
        <x:f>IF(M136="USD",Settings!$B$7,1)</x:f>
        <x:v>1</x:v>
      </x:c>
      <x:c r="O136" s="22"/>
      <x:c r="P136" s="22"/>
      <x:c r="Q136" s="22"/>
      <x:c r="R136" s="22"/>
      <x:c r="S136" s="22"/>
      <x:c r="T136" s="22"/>
      <x:c r="U136" s="22"/>
      <x:c r="V136" s="22"/>
    </x:row>
    <x:row r="137">
      <x:c r="A137" s="22"/>
      <x:c r="B137" s="28"/>
      <x:c r="C137" s="22"/>
      <x:c r="D137" s="22"/>
      <x:c r="E137" s="22"/>
      <x:c r="F137" s="22"/>
      <x:c r="G137" s="22"/>
      <x:c r="H137" s="22"/>
      <x:c r="I137" s="22"/>
      <x:c r="J137" s="22"/>
      <x:c r="K137" s="24"/>
      <x:c r="L137" s="36" t="str">
        <x:f>IF(K137="","",K137*IF(M137="USD",N137,1))</x:f>
      </x:c>
      <x:c r="M137" s="22"/>
      <x:c r="N137" s="36" t="n">
        <x:f>IF(M137="USD",Settings!$B$7,1)</x:f>
        <x:v>1</x:v>
      </x:c>
      <x:c r="O137" s="22"/>
      <x:c r="P137" s="22"/>
      <x:c r="Q137" s="22"/>
      <x:c r="R137" s="22"/>
      <x:c r="S137" s="22"/>
      <x:c r="T137" s="22"/>
      <x:c r="U137" s="22"/>
      <x:c r="V137" s="22"/>
    </x:row>
    <x:row r="138">
      <x:c r="A138" s="22"/>
      <x:c r="B138" s="28"/>
      <x:c r="C138" s="22"/>
      <x:c r="D138" s="22"/>
      <x:c r="E138" s="22"/>
      <x:c r="F138" s="22"/>
      <x:c r="G138" s="22"/>
      <x:c r="H138" s="22"/>
      <x:c r="I138" s="22"/>
      <x:c r="J138" s="22"/>
      <x:c r="K138" s="24"/>
      <x:c r="L138" s="36" t="str">
        <x:f>IF(K138="","",K138*IF(M138="USD",N138,1))</x:f>
      </x:c>
      <x:c r="M138" s="22"/>
      <x:c r="N138" s="36" t="n">
        <x:f>IF(M138="USD",Settings!$B$7,1)</x:f>
        <x:v>1</x:v>
      </x:c>
      <x:c r="O138" s="22"/>
      <x:c r="P138" s="22"/>
      <x:c r="Q138" s="22"/>
      <x:c r="R138" s="22"/>
      <x:c r="S138" s="22"/>
      <x:c r="T138" s="22"/>
      <x:c r="U138" s="22"/>
      <x:c r="V138" s="22"/>
    </x:row>
    <x:row r="139">
      <x:c r="A139" s="22"/>
      <x:c r="B139" s="28"/>
      <x:c r="C139" s="22"/>
      <x:c r="D139" s="22"/>
      <x:c r="E139" s="22"/>
      <x:c r="F139" s="22"/>
      <x:c r="G139" s="22"/>
      <x:c r="H139" s="22"/>
      <x:c r="I139" s="22"/>
      <x:c r="J139" s="22"/>
      <x:c r="K139" s="24"/>
      <x:c r="L139" s="36" t="str">
        <x:f>IF(K139="","",K139*IF(M139="USD",N139,1))</x:f>
      </x:c>
      <x:c r="M139" s="22"/>
      <x:c r="N139" s="36" t="n">
        <x:f>IF(M139="USD",Settings!$B$7,1)</x:f>
        <x:v>1</x:v>
      </x:c>
      <x:c r="O139" s="22"/>
      <x:c r="P139" s="22"/>
      <x:c r="Q139" s="22"/>
      <x:c r="R139" s="22"/>
      <x:c r="S139" s="22"/>
      <x:c r="T139" s="22"/>
      <x:c r="U139" s="22"/>
      <x:c r="V139" s="22"/>
    </x:row>
    <x:row r="140">
      <x:c r="A140" s="22"/>
      <x:c r="B140" s="28"/>
      <x:c r="C140" s="22"/>
      <x:c r="D140" s="22"/>
      <x:c r="E140" s="22"/>
      <x:c r="F140" s="22"/>
      <x:c r="G140" s="22"/>
      <x:c r="H140" s="22"/>
      <x:c r="I140" s="22"/>
      <x:c r="J140" s="22"/>
      <x:c r="K140" s="24"/>
      <x:c r="L140" s="36" t="str">
        <x:f>IF(K140="","",K140*IF(M140="USD",N140,1))</x:f>
      </x:c>
      <x:c r="M140" s="22"/>
      <x:c r="N140" s="36" t="n">
        <x:f>IF(M140="USD",Settings!$B$7,1)</x:f>
        <x:v>1</x:v>
      </x:c>
      <x:c r="O140" s="22"/>
      <x:c r="P140" s="22"/>
      <x:c r="Q140" s="22"/>
      <x:c r="R140" s="22"/>
      <x:c r="S140" s="22"/>
      <x:c r="T140" s="22"/>
      <x:c r="U140" s="22"/>
      <x:c r="V140" s="22"/>
    </x:row>
    <x:row r="141">
      <x:c r="A141" s="22"/>
      <x:c r="B141" s="28"/>
      <x:c r="C141" s="22"/>
      <x:c r="D141" s="22"/>
      <x:c r="E141" s="22"/>
      <x:c r="F141" s="22"/>
      <x:c r="G141" s="22"/>
      <x:c r="H141" s="22"/>
      <x:c r="I141" s="22"/>
      <x:c r="J141" s="22"/>
      <x:c r="K141" s="24"/>
      <x:c r="L141" s="36" t="str">
        <x:f>IF(K141="","",K141*IF(M141="USD",N141,1))</x:f>
      </x:c>
      <x:c r="M141" s="22"/>
      <x:c r="N141" s="36" t="n">
        <x:f>IF(M141="USD",Settings!$B$7,1)</x:f>
        <x:v>1</x:v>
      </x:c>
      <x:c r="O141" s="22"/>
      <x:c r="P141" s="22"/>
      <x:c r="Q141" s="22"/>
      <x:c r="R141" s="22"/>
      <x:c r="S141" s="22"/>
      <x:c r="T141" s="22"/>
      <x:c r="U141" s="22"/>
      <x:c r="V141" s="22"/>
    </x:row>
    <x:row r="142">
      <x:c r="A142" s="22"/>
      <x:c r="B142" s="28"/>
      <x:c r="C142" s="22"/>
      <x:c r="D142" s="22"/>
      <x:c r="E142" s="22"/>
      <x:c r="F142" s="22"/>
      <x:c r="G142" s="22"/>
      <x:c r="H142" s="22"/>
      <x:c r="I142" s="22"/>
      <x:c r="J142" s="22"/>
      <x:c r="K142" s="24"/>
      <x:c r="L142" s="36" t="str">
        <x:f>IF(K142="","",K142*IF(M142="USD",N142,1))</x:f>
      </x:c>
      <x:c r="M142" s="22"/>
      <x:c r="N142" s="36" t="n">
        <x:f>IF(M142="USD",Settings!$B$7,1)</x:f>
        <x:v>1</x:v>
      </x:c>
      <x:c r="O142" s="22"/>
      <x:c r="P142" s="22"/>
      <x:c r="Q142" s="22"/>
      <x:c r="R142" s="22"/>
      <x:c r="S142" s="22"/>
      <x:c r="T142" s="22"/>
      <x:c r="U142" s="22"/>
      <x:c r="V142" s="22"/>
    </x:row>
    <x:row r="143">
      <x:c r="A143" s="22"/>
      <x:c r="B143" s="28"/>
      <x:c r="C143" s="22"/>
      <x:c r="D143" s="22"/>
      <x:c r="E143" s="22"/>
      <x:c r="F143" s="22"/>
      <x:c r="G143" s="22"/>
      <x:c r="H143" s="22"/>
      <x:c r="I143" s="22"/>
      <x:c r="J143" s="22"/>
      <x:c r="K143" s="24"/>
      <x:c r="L143" s="36" t="str">
        <x:f>IF(K143="","",K143*IF(M143="USD",N143,1))</x:f>
      </x:c>
      <x:c r="M143" s="22"/>
      <x:c r="N143" s="36" t="n">
        <x:f>IF(M143="USD",Settings!$B$7,1)</x:f>
        <x:v>1</x:v>
      </x:c>
      <x:c r="O143" s="22"/>
      <x:c r="P143" s="22"/>
      <x:c r="Q143" s="22"/>
      <x:c r="R143" s="22"/>
      <x:c r="S143" s="22"/>
      <x:c r="T143" s="22"/>
      <x:c r="U143" s="22"/>
      <x:c r="V143" s="22"/>
    </x:row>
    <x:row r="144">
      <x:c r="A144" s="22"/>
      <x:c r="B144" s="28"/>
      <x:c r="C144" s="22"/>
      <x:c r="D144" s="22"/>
      <x:c r="E144" s="22"/>
      <x:c r="F144" s="22"/>
      <x:c r="G144" s="22"/>
      <x:c r="H144" s="22"/>
      <x:c r="I144" s="22"/>
      <x:c r="J144" s="22"/>
      <x:c r="K144" s="24"/>
      <x:c r="L144" s="36" t="str">
        <x:f>IF(K144="","",K144*IF(M144="USD",N144,1))</x:f>
      </x:c>
      <x:c r="M144" s="22"/>
      <x:c r="N144" s="36" t="n">
        <x:f>IF(M144="USD",Settings!$B$7,1)</x:f>
        <x:v>1</x:v>
      </x:c>
      <x:c r="O144" s="22"/>
      <x:c r="P144" s="22"/>
      <x:c r="Q144" s="22"/>
      <x:c r="R144" s="22"/>
      <x:c r="S144" s="22"/>
      <x:c r="T144" s="22"/>
      <x:c r="U144" s="22"/>
      <x:c r="V144" s="22"/>
    </x:row>
    <x:row r="145">
      <x:c r="A145" s="22"/>
      <x:c r="B145" s="28"/>
      <x:c r="C145" s="22"/>
      <x:c r="D145" s="22"/>
      <x:c r="E145" s="22"/>
      <x:c r="F145" s="22"/>
      <x:c r="G145" s="22"/>
      <x:c r="H145" s="22"/>
      <x:c r="I145" s="22"/>
      <x:c r="J145" s="22"/>
      <x:c r="K145" s="24"/>
      <x:c r="L145" s="36" t="str">
        <x:f>IF(K145="","",K145*IF(M145="USD",N145,1))</x:f>
      </x:c>
      <x:c r="M145" s="22"/>
      <x:c r="N145" s="36" t="n">
        <x:f>IF(M145="USD",Settings!$B$7,1)</x:f>
        <x:v>1</x:v>
      </x:c>
      <x:c r="O145" s="22"/>
      <x:c r="P145" s="22"/>
      <x:c r="Q145" s="22"/>
      <x:c r="R145" s="22"/>
      <x:c r="S145" s="22"/>
      <x:c r="T145" s="22"/>
      <x:c r="U145" s="22"/>
      <x:c r="V145" s="22"/>
    </x:row>
    <x:row r="146">
      <x:c r="A146" s="22"/>
      <x:c r="B146" s="28"/>
      <x:c r="C146" s="22"/>
      <x:c r="D146" s="22"/>
      <x:c r="E146" s="22"/>
      <x:c r="F146" s="22"/>
      <x:c r="G146" s="22"/>
      <x:c r="H146" s="22"/>
      <x:c r="I146" s="22"/>
      <x:c r="J146" s="22"/>
      <x:c r="K146" s="24"/>
      <x:c r="L146" s="36" t="str">
        <x:f>IF(K146="","",K146*IF(M146="USD",N146,1))</x:f>
      </x:c>
      <x:c r="M146" s="22"/>
      <x:c r="N146" s="36" t="n">
        <x:f>IF(M146="USD",Settings!$B$7,1)</x:f>
        <x:v>1</x:v>
      </x:c>
      <x:c r="O146" s="22"/>
      <x:c r="P146" s="22"/>
      <x:c r="Q146" s="22"/>
      <x:c r="R146" s="22"/>
      <x:c r="S146" s="22"/>
      <x:c r="T146" s="22"/>
      <x:c r="U146" s="22"/>
      <x:c r="V146" s="22"/>
    </x:row>
    <x:row r="147">
      <x:c r="A147" s="22"/>
      <x:c r="B147" s="28"/>
      <x:c r="C147" s="22"/>
      <x:c r="D147" s="22"/>
      <x:c r="E147" s="22"/>
      <x:c r="F147" s="22"/>
      <x:c r="G147" s="22"/>
      <x:c r="H147" s="22"/>
      <x:c r="I147" s="22"/>
      <x:c r="J147" s="22"/>
      <x:c r="K147" s="24"/>
      <x:c r="L147" s="36" t="str">
        <x:f>IF(K147="","",K147*IF(M147="USD",N147,1))</x:f>
      </x:c>
      <x:c r="M147" s="22"/>
      <x:c r="N147" s="36" t="n">
        <x:f>IF(M147="USD",Settings!$B$7,1)</x:f>
        <x:v>1</x:v>
      </x:c>
      <x:c r="O147" s="22"/>
      <x:c r="P147" s="22"/>
      <x:c r="Q147" s="22"/>
      <x:c r="R147" s="22"/>
      <x:c r="S147" s="22"/>
      <x:c r="T147" s="22"/>
      <x:c r="U147" s="22"/>
      <x:c r="V147" s="22"/>
    </x:row>
    <x:row r="148">
      <x:c r="A148" s="22"/>
      <x:c r="B148" s="28"/>
      <x:c r="C148" s="22"/>
      <x:c r="D148" s="22"/>
      <x:c r="E148" s="22"/>
      <x:c r="F148" s="22"/>
      <x:c r="G148" s="22"/>
      <x:c r="H148" s="22"/>
      <x:c r="I148" s="22"/>
      <x:c r="J148" s="22"/>
      <x:c r="K148" s="24"/>
      <x:c r="L148" s="36" t="str">
        <x:f>IF(K148="","",K148*IF(M148="USD",N148,1))</x:f>
      </x:c>
      <x:c r="M148" s="22"/>
      <x:c r="N148" s="36" t="n">
        <x:f>IF(M148="USD",Settings!$B$7,1)</x:f>
        <x:v>1</x:v>
      </x:c>
      <x:c r="O148" s="22"/>
      <x:c r="P148" s="22"/>
      <x:c r="Q148" s="22"/>
      <x:c r="R148" s="22"/>
      <x:c r="S148" s="22"/>
      <x:c r="T148" s="22"/>
      <x:c r="U148" s="22"/>
      <x:c r="V148" s="22"/>
    </x:row>
    <x:row r="149">
      <x:c r="A149" s="22"/>
      <x:c r="B149" s="28"/>
      <x:c r="C149" s="22"/>
      <x:c r="D149" s="22"/>
      <x:c r="E149" s="22"/>
      <x:c r="F149" s="22"/>
      <x:c r="G149" s="22"/>
      <x:c r="H149" s="22"/>
      <x:c r="I149" s="22"/>
      <x:c r="J149" s="22"/>
      <x:c r="K149" s="24"/>
      <x:c r="L149" s="36" t="str">
        <x:f>IF(K149="","",K149*IF(M149="USD",N149,1))</x:f>
      </x:c>
      <x:c r="M149" s="22"/>
      <x:c r="N149" s="36" t="n">
        <x:f>IF(M149="USD",Settings!$B$7,1)</x:f>
        <x:v>1</x:v>
      </x:c>
      <x:c r="O149" s="22"/>
      <x:c r="P149" s="22"/>
      <x:c r="Q149" s="22"/>
      <x:c r="R149" s="22"/>
      <x:c r="S149" s="22"/>
      <x:c r="T149" s="22"/>
      <x:c r="U149" s="22"/>
      <x:c r="V149" s="22"/>
    </x:row>
    <x:row r="150">
      <x:c r="A150" s="22"/>
      <x:c r="B150" s="28"/>
      <x:c r="C150" s="22"/>
      <x:c r="D150" s="22"/>
      <x:c r="E150" s="22"/>
      <x:c r="F150" s="22"/>
      <x:c r="G150" s="22"/>
      <x:c r="H150" s="22"/>
      <x:c r="I150" s="22"/>
      <x:c r="J150" s="22"/>
      <x:c r="K150" s="24"/>
      <x:c r="L150" s="36" t="str">
        <x:f>IF(K150="","",K150*IF(M150="USD",N150,1))</x:f>
      </x:c>
      <x:c r="M150" s="22"/>
      <x:c r="N150" s="36" t="n">
        <x:f>IF(M150="USD",Settings!$B$7,1)</x:f>
        <x:v>1</x:v>
      </x:c>
      <x:c r="O150" s="22"/>
      <x:c r="P150" s="22"/>
      <x:c r="Q150" s="22"/>
      <x:c r="R150" s="22"/>
      <x:c r="S150" s="22"/>
      <x:c r="T150" s="22"/>
      <x:c r="U150" s="22"/>
      <x:c r="V150" s="22"/>
    </x:row>
    <x:row r="151">
      <x:c r="A151" s="22"/>
      <x:c r="B151" s="28"/>
      <x:c r="C151" s="22"/>
      <x:c r="D151" s="22"/>
      <x:c r="E151" s="22"/>
      <x:c r="F151" s="22"/>
      <x:c r="G151" s="22"/>
      <x:c r="H151" s="22"/>
      <x:c r="I151" s="22"/>
      <x:c r="J151" s="22"/>
      <x:c r="K151" s="24"/>
      <x:c r="L151" s="36" t="str">
        <x:f>IF(K151="","",K151*IF(M151="USD",N151,1))</x:f>
      </x:c>
      <x:c r="M151" s="22"/>
      <x:c r="N151" s="36" t="n">
        <x:f>IF(M151="USD",Settings!$B$7,1)</x:f>
        <x:v>1</x:v>
      </x:c>
      <x:c r="O151" s="22"/>
      <x:c r="P151" s="22"/>
      <x:c r="Q151" s="22"/>
      <x:c r="R151" s="22"/>
      <x:c r="S151" s="22"/>
      <x:c r="T151" s="22"/>
      <x:c r="U151" s="22"/>
      <x:c r="V151" s="22"/>
    </x:row>
    <x:row r="152">
      <x:c r="A152" s="22"/>
      <x:c r="B152" s="28"/>
      <x:c r="C152" s="22"/>
      <x:c r="D152" s="22"/>
      <x:c r="E152" s="22"/>
      <x:c r="F152" s="22"/>
      <x:c r="G152" s="22"/>
      <x:c r="H152" s="22"/>
      <x:c r="I152" s="22"/>
      <x:c r="J152" s="22"/>
      <x:c r="K152" s="24"/>
      <x:c r="L152" s="36" t="str">
        <x:f>IF(K152="","",K152*IF(M152="USD",N152,1))</x:f>
      </x:c>
      <x:c r="M152" s="22"/>
      <x:c r="N152" s="36" t="n">
        <x:f>IF(M152="USD",Settings!$B$7,1)</x:f>
        <x:v>1</x:v>
      </x:c>
      <x:c r="O152" s="22"/>
      <x:c r="P152" s="22"/>
      <x:c r="Q152" s="22"/>
      <x:c r="R152" s="22"/>
      <x:c r="S152" s="22"/>
      <x:c r="T152" s="22"/>
      <x:c r="U152" s="22"/>
      <x:c r="V152" s="22"/>
    </x:row>
    <x:row r="153">
      <x:c r="A153" s="22"/>
      <x:c r="B153" s="28"/>
      <x:c r="C153" s="22"/>
      <x:c r="D153" s="22"/>
      <x:c r="E153" s="22"/>
      <x:c r="F153" s="22"/>
      <x:c r="G153" s="22"/>
      <x:c r="H153" s="22"/>
      <x:c r="I153" s="22"/>
      <x:c r="J153" s="22"/>
      <x:c r="K153" s="24"/>
      <x:c r="L153" s="36" t="str">
        <x:f>IF(K153="","",K153*IF(M153="USD",N153,1))</x:f>
      </x:c>
      <x:c r="M153" s="22"/>
      <x:c r="N153" s="36" t="n">
        <x:f>IF(M153="USD",Settings!$B$7,1)</x:f>
        <x:v>1</x:v>
      </x:c>
      <x:c r="O153" s="22"/>
      <x:c r="P153" s="22"/>
      <x:c r="Q153" s="22"/>
      <x:c r="R153" s="22"/>
      <x:c r="S153" s="22"/>
      <x:c r="T153" s="22"/>
      <x:c r="U153" s="22"/>
      <x:c r="V153" s="22"/>
    </x:row>
    <x:row r="154">
      <x:c r="A154" s="22"/>
      <x:c r="B154" s="28"/>
      <x:c r="C154" s="22"/>
      <x:c r="D154" s="22"/>
      <x:c r="E154" s="22"/>
      <x:c r="F154" s="22"/>
      <x:c r="G154" s="22"/>
      <x:c r="H154" s="22"/>
      <x:c r="I154" s="22"/>
      <x:c r="J154" s="22"/>
      <x:c r="K154" s="24"/>
      <x:c r="L154" s="36" t="str">
        <x:f>IF(K154="","",K154*IF(M154="USD",N154,1))</x:f>
      </x:c>
      <x:c r="M154" s="22"/>
      <x:c r="N154" s="36" t="n">
        <x:f>IF(M154="USD",Settings!$B$7,1)</x:f>
        <x:v>1</x:v>
      </x:c>
      <x:c r="O154" s="22"/>
      <x:c r="P154" s="22"/>
      <x:c r="Q154" s="22"/>
      <x:c r="R154" s="22"/>
      <x:c r="S154" s="22"/>
      <x:c r="T154" s="22"/>
      <x:c r="U154" s="22"/>
      <x:c r="V154" s="22"/>
    </x:row>
    <x:row r="155">
      <x:c r="A155" s="22"/>
      <x:c r="B155" s="28"/>
      <x:c r="C155" s="22"/>
      <x:c r="D155" s="22"/>
      <x:c r="E155" s="22"/>
      <x:c r="F155" s="22"/>
      <x:c r="G155" s="22"/>
      <x:c r="H155" s="22"/>
      <x:c r="I155" s="22"/>
      <x:c r="J155" s="22"/>
      <x:c r="K155" s="24"/>
      <x:c r="L155" s="36" t="str">
        <x:f>IF(K155="","",K155*IF(M155="USD",N155,1))</x:f>
      </x:c>
      <x:c r="M155" s="22"/>
      <x:c r="N155" s="36" t="n">
        <x:f>IF(M155="USD",Settings!$B$7,1)</x:f>
        <x:v>1</x:v>
      </x:c>
      <x:c r="O155" s="22"/>
      <x:c r="P155" s="22"/>
      <x:c r="Q155" s="22"/>
      <x:c r="R155" s="22"/>
      <x:c r="S155" s="22"/>
      <x:c r="T155" s="22"/>
      <x:c r="U155" s="22"/>
      <x:c r="V155" s="22"/>
    </x:row>
    <x:row r="156">
      <x:c r="A156" s="22"/>
      <x:c r="B156" s="28"/>
      <x:c r="C156" s="22"/>
      <x:c r="D156" s="22"/>
      <x:c r="E156" s="22"/>
      <x:c r="F156" s="22"/>
      <x:c r="G156" s="22"/>
      <x:c r="H156" s="22"/>
      <x:c r="I156" s="22"/>
      <x:c r="J156" s="22"/>
      <x:c r="K156" s="24"/>
      <x:c r="L156" s="36" t="str">
        <x:f>IF(K156="","",K156*IF(M156="USD",N156,1))</x:f>
      </x:c>
      <x:c r="M156" s="22"/>
      <x:c r="N156" s="36" t="n">
        <x:f>IF(M156="USD",Settings!$B$7,1)</x:f>
        <x:v>1</x:v>
      </x:c>
      <x:c r="O156" s="22"/>
      <x:c r="P156" s="22"/>
      <x:c r="Q156" s="22"/>
      <x:c r="R156" s="22"/>
      <x:c r="S156" s="22"/>
      <x:c r="T156" s="22"/>
      <x:c r="U156" s="22"/>
      <x:c r="V156" s="22"/>
    </x:row>
    <x:row r="157">
      <x:c r="A157" s="22"/>
      <x:c r="B157" s="28"/>
      <x:c r="C157" s="22"/>
      <x:c r="D157" s="22"/>
      <x:c r="E157" s="22"/>
      <x:c r="F157" s="22"/>
      <x:c r="G157" s="22"/>
      <x:c r="H157" s="22"/>
      <x:c r="I157" s="22"/>
      <x:c r="J157" s="22"/>
      <x:c r="K157" s="24"/>
      <x:c r="L157" s="36" t="str">
        <x:f>IF(K157="","",K157*IF(M157="USD",N157,1))</x:f>
      </x:c>
      <x:c r="M157" s="22"/>
      <x:c r="N157" s="36" t="n">
        <x:f>IF(M157="USD",Settings!$B$7,1)</x:f>
        <x:v>1</x:v>
      </x:c>
      <x:c r="O157" s="22"/>
      <x:c r="P157" s="22"/>
      <x:c r="Q157" s="22"/>
      <x:c r="R157" s="22"/>
      <x:c r="S157" s="22"/>
      <x:c r="T157" s="22"/>
      <x:c r="U157" s="22"/>
      <x:c r="V157" s="22"/>
    </x:row>
    <x:row r="158">
      <x:c r="A158" s="22"/>
      <x:c r="B158" s="28"/>
      <x:c r="C158" s="22"/>
      <x:c r="D158" s="22"/>
      <x:c r="E158" s="22"/>
      <x:c r="F158" s="22"/>
      <x:c r="G158" s="22"/>
      <x:c r="H158" s="22"/>
      <x:c r="I158" s="22"/>
      <x:c r="J158" s="22"/>
      <x:c r="K158" s="24"/>
      <x:c r="L158" s="36" t="str">
        <x:f>IF(K158="","",K158*IF(M158="USD",N158,1))</x:f>
      </x:c>
      <x:c r="M158" s="22"/>
      <x:c r="N158" s="36" t="n">
        <x:f>IF(M158="USD",Settings!$B$7,1)</x:f>
        <x:v>1</x:v>
      </x:c>
      <x:c r="O158" s="22"/>
      <x:c r="P158" s="22"/>
      <x:c r="Q158" s="22"/>
      <x:c r="R158" s="22"/>
      <x:c r="S158" s="22"/>
      <x:c r="T158" s="22"/>
      <x:c r="U158" s="22"/>
      <x:c r="V158" s="22"/>
    </x:row>
    <x:row r="159">
      <x:c r="A159" s="22"/>
      <x:c r="B159" s="28"/>
      <x:c r="C159" s="22"/>
      <x:c r="D159" s="22"/>
      <x:c r="E159" s="22"/>
      <x:c r="F159" s="22"/>
      <x:c r="G159" s="22"/>
      <x:c r="H159" s="22"/>
      <x:c r="I159" s="22"/>
      <x:c r="J159" s="22"/>
      <x:c r="K159" s="24"/>
      <x:c r="L159" s="36" t="str">
        <x:f>IF(K159="","",K159*IF(M159="USD",N159,1))</x:f>
      </x:c>
      <x:c r="M159" s="22"/>
      <x:c r="N159" s="36" t="n">
        <x:f>IF(M159="USD",Settings!$B$7,1)</x:f>
        <x:v>1</x:v>
      </x:c>
      <x:c r="O159" s="22"/>
      <x:c r="P159" s="22"/>
      <x:c r="Q159" s="22"/>
      <x:c r="R159" s="22"/>
      <x:c r="S159" s="22"/>
      <x:c r="T159" s="22"/>
      <x:c r="U159" s="22"/>
      <x:c r="V159" s="22"/>
    </x:row>
    <x:row r="160">
      <x:c r="A160" s="22"/>
      <x:c r="B160" s="28"/>
      <x:c r="C160" s="22"/>
      <x:c r="D160" s="22"/>
      <x:c r="E160" s="22"/>
      <x:c r="F160" s="22"/>
      <x:c r="G160" s="22"/>
      <x:c r="H160" s="22"/>
      <x:c r="I160" s="22"/>
      <x:c r="J160" s="22"/>
      <x:c r="K160" s="24"/>
      <x:c r="L160" s="36" t="str">
        <x:f>IF(K160="","",K160*IF(M160="USD",N160,1))</x:f>
      </x:c>
      <x:c r="M160" s="22"/>
      <x:c r="N160" s="36" t="n">
        <x:f>IF(M160="USD",Settings!$B$7,1)</x:f>
        <x:v>1</x:v>
      </x:c>
      <x:c r="O160" s="22"/>
      <x:c r="P160" s="22"/>
      <x:c r="Q160" s="22"/>
      <x:c r="R160" s="22"/>
      <x:c r="S160" s="22"/>
      <x:c r="T160" s="22"/>
      <x:c r="U160" s="22"/>
      <x:c r="V160" s="22"/>
    </x:row>
    <x:row r="161">
      <x:c r="A161" s="22"/>
      <x:c r="B161" s="28"/>
      <x:c r="C161" s="22"/>
      <x:c r="D161" s="22"/>
      <x:c r="E161" s="22"/>
      <x:c r="F161" s="22"/>
      <x:c r="G161" s="22"/>
      <x:c r="H161" s="22"/>
      <x:c r="I161" s="22"/>
      <x:c r="J161" s="22"/>
      <x:c r="K161" s="24"/>
      <x:c r="L161" s="36" t="str">
        <x:f>IF(K161="","",K161*IF(M161="USD",N161,1))</x:f>
      </x:c>
      <x:c r="M161" s="22"/>
      <x:c r="N161" s="36" t="n">
        <x:f>IF(M161="USD",Settings!$B$7,1)</x:f>
        <x:v>1</x:v>
      </x:c>
      <x:c r="O161" s="22"/>
      <x:c r="P161" s="22"/>
      <x:c r="Q161" s="22"/>
      <x:c r="R161" s="22"/>
      <x:c r="S161" s="22"/>
      <x:c r="T161" s="22"/>
      <x:c r="U161" s="22"/>
      <x:c r="V161" s="22"/>
    </x:row>
    <x:row r="162">
      <x:c r="A162" s="22"/>
      <x:c r="B162" s="28"/>
      <x:c r="C162" s="22"/>
      <x:c r="D162" s="22"/>
      <x:c r="E162" s="22"/>
      <x:c r="F162" s="22"/>
      <x:c r="G162" s="22"/>
      <x:c r="H162" s="22"/>
      <x:c r="I162" s="22"/>
      <x:c r="J162" s="22"/>
      <x:c r="K162" s="24"/>
      <x:c r="L162" s="36" t="str">
        <x:f>IF(K162="","",K162*IF(M162="USD",N162,1))</x:f>
      </x:c>
      <x:c r="M162" s="22"/>
      <x:c r="N162" s="36" t="n">
        <x:f>IF(M162="USD",Settings!$B$7,1)</x:f>
        <x:v>1</x:v>
      </x:c>
      <x:c r="O162" s="22"/>
      <x:c r="P162" s="22"/>
      <x:c r="Q162" s="22"/>
      <x:c r="R162" s="22"/>
      <x:c r="S162" s="22"/>
      <x:c r="T162" s="22"/>
      <x:c r="U162" s="22"/>
      <x:c r="V162" s="22"/>
    </x:row>
    <x:row r="163">
      <x:c r="A163" s="22"/>
      <x:c r="B163" s="28"/>
      <x:c r="C163" s="22"/>
      <x:c r="D163" s="22"/>
      <x:c r="E163" s="22"/>
      <x:c r="F163" s="22"/>
      <x:c r="G163" s="22"/>
      <x:c r="H163" s="22"/>
      <x:c r="I163" s="22"/>
      <x:c r="J163" s="22"/>
      <x:c r="K163" s="24"/>
      <x:c r="L163" s="36" t="str">
        <x:f>IF(K163="","",K163*IF(M163="USD",N163,1))</x:f>
      </x:c>
      <x:c r="M163" s="22"/>
      <x:c r="N163" s="36" t="n">
        <x:f>IF(M163="USD",Settings!$B$7,1)</x:f>
        <x:v>1</x:v>
      </x:c>
      <x:c r="O163" s="22"/>
      <x:c r="P163" s="22"/>
      <x:c r="Q163" s="22"/>
      <x:c r="R163" s="22"/>
      <x:c r="S163" s="22"/>
      <x:c r="T163" s="22"/>
      <x:c r="U163" s="22"/>
      <x:c r="V163" s="22"/>
    </x:row>
    <x:row r="164">
      <x:c r="A164" s="22"/>
      <x:c r="B164" s="28"/>
      <x:c r="C164" s="22"/>
      <x:c r="D164" s="22"/>
      <x:c r="E164" s="22"/>
      <x:c r="F164" s="22"/>
      <x:c r="G164" s="22"/>
      <x:c r="H164" s="22"/>
      <x:c r="I164" s="22"/>
      <x:c r="J164" s="22"/>
      <x:c r="K164" s="24"/>
      <x:c r="L164" s="36" t="str">
        <x:f>IF(K164="","",K164*IF(M164="USD",N164,1))</x:f>
      </x:c>
      <x:c r="M164" s="22"/>
      <x:c r="N164" s="36" t="n">
        <x:f>IF(M164="USD",Settings!$B$7,1)</x:f>
        <x:v>1</x:v>
      </x:c>
      <x:c r="O164" s="22"/>
      <x:c r="P164" s="22"/>
      <x:c r="Q164" s="22"/>
      <x:c r="R164" s="22"/>
      <x:c r="S164" s="22"/>
      <x:c r="T164" s="22"/>
      <x:c r="U164" s="22"/>
      <x:c r="V164" s="22"/>
    </x:row>
    <x:row r="165">
      <x:c r="A165" s="22"/>
      <x:c r="B165" s="28"/>
      <x:c r="C165" s="22"/>
      <x:c r="D165" s="22"/>
      <x:c r="E165" s="22"/>
      <x:c r="F165" s="22"/>
      <x:c r="G165" s="22"/>
      <x:c r="H165" s="22"/>
      <x:c r="I165" s="22"/>
      <x:c r="J165" s="22"/>
      <x:c r="K165" s="24"/>
      <x:c r="L165" s="36" t="str">
        <x:f>IF(K165="","",K165*IF(M165="USD",N165,1))</x:f>
      </x:c>
      <x:c r="M165" s="22"/>
      <x:c r="N165" s="36" t="n">
        <x:f>IF(M165="USD",Settings!$B$7,1)</x:f>
        <x:v>1</x:v>
      </x:c>
      <x:c r="O165" s="22"/>
      <x:c r="P165" s="22"/>
      <x:c r="Q165" s="22"/>
      <x:c r="R165" s="22"/>
      <x:c r="S165" s="22"/>
      <x:c r="T165" s="22"/>
      <x:c r="U165" s="22"/>
      <x:c r="V165" s="22"/>
    </x:row>
    <x:row r="166">
      <x:c r="A166" s="22"/>
      <x:c r="B166" s="28"/>
      <x:c r="C166" s="22"/>
      <x:c r="D166" s="22"/>
      <x:c r="E166" s="22"/>
      <x:c r="F166" s="22"/>
      <x:c r="G166" s="22"/>
      <x:c r="H166" s="22"/>
      <x:c r="I166" s="22"/>
      <x:c r="J166" s="22"/>
      <x:c r="K166" s="24"/>
      <x:c r="L166" s="36" t="str">
        <x:f>IF(K166="","",K166*IF(M166="USD",N166,1))</x:f>
      </x:c>
      <x:c r="M166" s="22"/>
      <x:c r="N166" s="36" t="n">
        <x:f>IF(M166="USD",Settings!$B$7,1)</x:f>
        <x:v>1</x:v>
      </x:c>
      <x:c r="O166" s="22"/>
      <x:c r="P166" s="22"/>
      <x:c r="Q166" s="22"/>
      <x:c r="R166" s="22"/>
      <x:c r="S166" s="22"/>
      <x:c r="T166" s="22"/>
      <x:c r="U166" s="22"/>
      <x:c r="V166" s="22"/>
    </x:row>
    <x:row r="167">
      <x:c r="A167" s="22"/>
      <x:c r="B167" s="28"/>
      <x:c r="C167" s="22"/>
      <x:c r="D167" s="22"/>
      <x:c r="E167" s="22"/>
      <x:c r="F167" s="22"/>
      <x:c r="G167" s="22"/>
      <x:c r="H167" s="22"/>
      <x:c r="I167" s="22"/>
      <x:c r="J167" s="22"/>
      <x:c r="K167" s="24"/>
      <x:c r="L167" s="36" t="str">
        <x:f>IF(K167="","",K167*IF(M167="USD",N167,1))</x:f>
      </x:c>
      <x:c r="M167" s="22"/>
      <x:c r="N167" s="36" t="n">
        <x:f>IF(M167="USD",Settings!$B$7,1)</x:f>
        <x:v>1</x:v>
      </x:c>
      <x:c r="O167" s="22"/>
      <x:c r="P167" s="22"/>
      <x:c r="Q167" s="22"/>
      <x:c r="R167" s="22"/>
      <x:c r="S167" s="22"/>
      <x:c r="T167" s="22"/>
      <x:c r="U167" s="22"/>
      <x:c r="V167" s="22"/>
    </x:row>
    <x:row r="168">
      <x:c r="A168" s="22"/>
      <x:c r="B168" s="28"/>
      <x:c r="C168" s="22"/>
      <x:c r="D168" s="22"/>
      <x:c r="E168" s="22"/>
      <x:c r="F168" s="22"/>
      <x:c r="G168" s="22"/>
      <x:c r="H168" s="22"/>
      <x:c r="I168" s="22"/>
      <x:c r="J168" s="22"/>
      <x:c r="K168" s="24"/>
      <x:c r="L168" s="36" t="str">
        <x:f>IF(K168="","",K168*IF(M168="USD",N168,1))</x:f>
      </x:c>
      <x:c r="M168" s="22"/>
      <x:c r="N168" s="36" t="n">
        <x:f>IF(M168="USD",Settings!$B$7,1)</x:f>
        <x:v>1</x:v>
      </x:c>
      <x:c r="O168" s="22"/>
      <x:c r="P168" s="22"/>
      <x:c r="Q168" s="22"/>
      <x:c r="R168" s="22"/>
      <x:c r="S168" s="22"/>
      <x:c r="T168" s="22"/>
      <x:c r="U168" s="22"/>
      <x:c r="V168" s="22"/>
    </x:row>
    <x:row r="169">
      <x:c r="A169" s="22"/>
      <x:c r="B169" s="28"/>
      <x:c r="C169" s="22"/>
      <x:c r="D169" s="22"/>
      <x:c r="E169" s="22"/>
      <x:c r="F169" s="22"/>
      <x:c r="G169" s="22"/>
      <x:c r="H169" s="22"/>
      <x:c r="I169" s="22"/>
      <x:c r="J169" s="22"/>
      <x:c r="K169" s="24"/>
      <x:c r="L169" s="36" t="str">
        <x:f>IF(K169="","",K169*IF(M169="USD",N169,1))</x:f>
      </x:c>
      <x:c r="M169" s="22"/>
      <x:c r="N169" s="36" t="n">
        <x:f>IF(M169="USD",Settings!$B$7,1)</x:f>
        <x:v>1</x:v>
      </x:c>
      <x:c r="O169" s="22"/>
      <x:c r="P169" s="22"/>
      <x:c r="Q169" s="22"/>
      <x:c r="R169" s="22"/>
      <x:c r="S169" s="22"/>
      <x:c r="T169" s="22"/>
      <x:c r="U169" s="22"/>
      <x:c r="V169" s="22"/>
    </x:row>
    <x:row r="170">
      <x:c r="A170" s="22"/>
      <x:c r="B170" s="28"/>
      <x:c r="C170" s="22"/>
      <x:c r="D170" s="22"/>
      <x:c r="E170" s="22"/>
      <x:c r="F170" s="22"/>
      <x:c r="G170" s="22"/>
      <x:c r="H170" s="22"/>
      <x:c r="I170" s="22"/>
      <x:c r="J170" s="22"/>
      <x:c r="K170" s="24"/>
      <x:c r="L170" s="36" t="str">
        <x:f>IF(K170="","",K170*IF(M170="USD",N170,1))</x:f>
      </x:c>
      <x:c r="M170" s="22"/>
      <x:c r="N170" s="36" t="n">
        <x:f>IF(M170="USD",Settings!$B$7,1)</x:f>
        <x:v>1</x:v>
      </x:c>
      <x:c r="O170" s="22"/>
      <x:c r="P170" s="22"/>
      <x:c r="Q170" s="22"/>
      <x:c r="R170" s="22"/>
      <x:c r="S170" s="22"/>
      <x:c r="T170" s="22"/>
      <x:c r="U170" s="22"/>
      <x:c r="V170" s="22"/>
    </x:row>
    <x:row r="171">
      <x:c r="A171" s="22"/>
      <x:c r="B171" s="28"/>
      <x:c r="C171" s="22"/>
      <x:c r="D171" s="22"/>
      <x:c r="E171" s="22"/>
      <x:c r="F171" s="22"/>
      <x:c r="G171" s="22"/>
      <x:c r="H171" s="22"/>
      <x:c r="I171" s="22"/>
      <x:c r="J171" s="22"/>
      <x:c r="K171" s="24"/>
      <x:c r="L171" s="36" t="str">
        <x:f>IF(K171="","",K171*IF(M171="USD",N171,1))</x:f>
      </x:c>
      <x:c r="M171" s="22"/>
      <x:c r="N171" s="36" t="n">
        <x:f>IF(M171="USD",Settings!$B$7,1)</x:f>
        <x:v>1</x:v>
      </x:c>
      <x:c r="O171" s="22"/>
      <x:c r="P171" s="22"/>
      <x:c r="Q171" s="22"/>
      <x:c r="R171" s="22"/>
      <x:c r="S171" s="22"/>
      <x:c r="T171" s="22"/>
      <x:c r="U171" s="22"/>
      <x:c r="V171" s="22"/>
    </x:row>
    <x:row r="172">
      <x:c r="A172" s="22"/>
      <x:c r="B172" s="28"/>
      <x:c r="C172" s="22"/>
      <x:c r="D172" s="22"/>
      <x:c r="E172" s="22"/>
      <x:c r="F172" s="22"/>
      <x:c r="G172" s="22"/>
      <x:c r="H172" s="22"/>
      <x:c r="I172" s="22"/>
      <x:c r="J172" s="22"/>
      <x:c r="K172" s="24"/>
      <x:c r="L172" s="36" t="str">
        <x:f>IF(K172="","",K172*IF(M172="USD",N172,1))</x:f>
      </x:c>
      <x:c r="M172" s="22"/>
      <x:c r="N172" s="36" t="n">
        <x:f>IF(M172="USD",Settings!$B$7,1)</x:f>
        <x:v>1</x:v>
      </x:c>
      <x:c r="O172" s="22"/>
      <x:c r="P172" s="22"/>
      <x:c r="Q172" s="22"/>
      <x:c r="R172" s="22"/>
      <x:c r="S172" s="22"/>
      <x:c r="T172" s="22"/>
      <x:c r="U172" s="22"/>
      <x:c r="V172" s="22"/>
    </x:row>
    <x:row r="173">
      <x:c r="A173" s="22"/>
      <x:c r="B173" s="28"/>
      <x:c r="C173" s="22"/>
      <x:c r="D173" s="22"/>
      <x:c r="E173" s="22"/>
      <x:c r="F173" s="22"/>
      <x:c r="G173" s="22"/>
      <x:c r="H173" s="22"/>
      <x:c r="I173" s="22"/>
      <x:c r="J173" s="22"/>
      <x:c r="K173" s="24"/>
      <x:c r="L173" s="36" t="str">
        <x:f>IF(K173="","",K173*IF(M173="USD",N173,1))</x:f>
      </x:c>
      <x:c r="M173" s="22"/>
      <x:c r="N173" s="36" t="n">
        <x:f>IF(M173="USD",Settings!$B$7,1)</x:f>
        <x:v>1</x:v>
      </x:c>
      <x:c r="O173" s="22"/>
      <x:c r="P173" s="22"/>
      <x:c r="Q173" s="22"/>
      <x:c r="R173" s="22"/>
      <x:c r="S173" s="22"/>
      <x:c r="T173" s="22"/>
      <x:c r="U173" s="22"/>
      <x:c r="V173" s="22"/>
    </x:row>
    <x:row r="174">
      <x:c r="A174" s="22"/>
      <x:c r="B174" s="28"/>
      <x:c r="C174" s="22"/>
      <x:c r="D174" s="22"/>
      <x:c r="E174" s="22"/>
      <x:c r="F174" s="22"/>
      <x:c r="G174" s="22"/>
      <x:c r="H174" s="22"/>
      <x:c r="I174" s="22"/>
      <x:c r="J174" s="22"/>
      <x:c r="K174" s="24"/>
      <x:c r="L174" s="36" t="str">
        <x:f>IF(K174="","",K174*IF(M174="USD",N174,1))</x:f>
      </x:c>
      <x:c r="M174" s="22"/>
      <x:c r="N174" s="36" t="n">
        <x:f>IF(M174="USD",Settings!$B$7,1)</x:f>
        <x:v>1</x:v>
      </x:c>
      <x:c r="O174" s="22"/>
      <x:c r="P174" s="22"/>
      <x:c r="Q174" s="22"/>
      <x:c r="R174" s="22"/>
      <x:c r="S174" s="22"/>
      <x:c r="T174" s="22"/>
      <x:c r="U174" s="22"/>
      <x:c r="V174" s="22"/>
    </x:row>
    <x:row r="175">
      <x:c r="A175" s="22"/>
      <x:c r="B175" s="28"/>
      <x:c r="C175" s="22"/>
      <x:c r="D175" s="22"/>
      <x:c r="E175" s="22"/>
      <x:c r="F175" s="22"/>
      <x:c r="G175" s="22"/>
      <x:c r="H175" s="22"/>
      <x:c r="I175" s="22"/>
      <x:c r="J175" s="22"/>
      <x:c r="K175" s="24"/>
      <x:c r="L175" s="36" t="str">
        <x:f>IF(K175="","",K175*IF(M175="USD",N175,1))</x:f>
      </x:c>
      <x:c r="M175" s="22"/>
      <x:c r="N175" s="36" t="n">
        <x:f>IF(M175="USD",Settings!$B$7,1)</x:f>
        <x:v>1</x:v>
      </x:c>
      <x:c r="O175" s="22"/>
      <x:c r="P175" s="22"/>
      <x:c r="Q175" s="22"/>
      <x:c r="R175" s="22"/>
      <x:c r="S175" s="22"/>
      <x:c r="T175" s="22"/>
      <x:c r="U175" s="22"/>
      <x:c r="V175" s="22"/>
    </x:row>
    <x:row r="176">
      <x:c r="A176" s="22"/>
      <x:c r="B176" s="28"/>
      <x:c r="C176" s="22"/>
      <x:c r="D176" s="22"/>
      <x:c r="E176" s="22"/>
      <x:c r="F176" s="22"/>
      <x:c r="G176" s="22"/>
      <x:c r="H176" s="22"/>
      <x:c r="I176" s="22"/>
      <x:c r="J176" s="22"/>
      <x:c r="K176" s="24"/>
      <x:c r="L176" s="36" t="str">
        <x:f>IF(K176="","",K176*IF(M176="USD",N176,1))</x:f>
      </x:c>
      <x:c r="M176" s="22"/>
      <x:c r="N176" s="36" t="n">
        <x:f>IF(M176="USD",Settings!$B$7,1)</x:f>
        <x:v>1</x:v>
      </x:c>
      <x:c r="O176" s="22"/>
      <x:c r="P176" s="22"/>
      <x:c r="Q176" s="22"/>
      <x:c r="R176" s="22"/>
      <x:c r="S176" s="22"/>
      <x:c r="T176" s="22"/>
      <x:c r="U176" s="22"/>
      <x:c r="V176" s="22"/>
    </x:row>
    <x:row r="177">
      <x:c r="A177" s="22"/>
      <x:c r="B177" s="28"/>
      <x:c r="C177" s="22"/>
      <x:c r="D177" s="22"/>
      <x:c r="E177" s="22"/>
      <x:c r="F177" s="22"/>
      <x:c r="G177" s="22"/>
      <x:c r="H177" s="22"/>
      <x:c r="I177" s="22"/>
      <x:c r="J177" s="22"/>
      <x:c r="K177" s="24"/>
      <x:c r="L177" s="36" t="str">
        <x:f>IF(K177="","",K177*IF(M177="USD",N177,1))</x:f>
      </x:c>
      <x:c r="M177" s="22"/>
      <x:c r="N177" s="36" t="n">
        <x:f>IF(M177="USD",Settings!$B$7,1)</x:f>
        <x:v>1</x:v>
      </x:c>
      <x:c r="O177" s="22"/>
      <x:c r="P177" s="22"/>
      <x:c r="Q177" s="22"/>
      <x:c r="R177" s="22"/>
      <x:c r="S177" s="22"/>
      <x:c r="T177" s="22"/>
      <x:c r="U177" s="22"/>
      <x:c r="V177" s="22"/>
    </x:row>
    <x:row r="178">
      <x:c r="A178" s="22"/>
      <x:c r="B178" s="28"/>
      <x:c r="C178" s="22"/>
      <x:c r="D178" s="22"/>
      <x:c r="E178" s="22"/>
      <x:c r="F178" s="22"/>
      <x:c r="G178" s="22"/>
      <x:c r="H178" s="22"/>
      <x:c r="I178" s="22"/>
      <x:c r="J178" s="22"/>
      <x:c r="K178" s="24"/>
      <x:c r="L178" s="36" t="str">
        <x:f>IF(K178="","",K178*IF(M178="USD",N178,1))</x:f>
      </x:c>
      <x:c r="M178" s="22"/>
      <x:c r="N178" s="36" t="n">
        <x:f>IF(M178="USD",Settings!$B$7,1)</x:f>
        <x:v>1</x:v>
      </x:c>
      <x:c r="O178" s="22"/>
      <x:c r="P178" s="22"/>
      <x:c r="Q178" s="22"/>
      <x:c r="R178" s="22"/>
      <x:c r="S178" s="22"/>
      <x:c r="T178" s="22"/>
      <x:c r="U178" s="22"/>
      <x:c r="V178" s="22"/>
    </x:row>
    <x:row r="179">
      <x:c r="A179" s="22"/>
      <x:c r="B179" s="28"/>
      <x:c r="C179" s="22"/>
      <x:c r="D179" s="22"/>
      <x:c r="E179" s="22"/>
      <x:c r="F179" s="22"/>
      <x:c r="G179" s="22"/>
      <x:c r="H179" s="22"/>
      <x:c r="I179" s="22"/>
      <x:c r="J179" s="22"/>
      <x:c r="K179" s="24"/>
      <x:c r="L179" s="36" t="str">
        <x:f>IF(K179="","",K179*IF(M179="USD",N179,1))</x:f>
      </x:c>
      <x:c r="M179" s="22"/>
      <x:c r="N179" s="36" t="n">
        <x:f>IF(M179="USD",Settings!$B$7,1)</x:f>
        <x:v>1</x:v>
      </x:c>
      <x:c r="O179" s="22"/>
      <x:c r="P179" s="22"/>
      <x:c r="Q179" s="22"/>
      <x:c r="R179" s="22"/>
      <x:c r="S179" s="22"/>
      <x:c r="T179" s="22"/>
      <x:c r="U179" s="22"/>
      <x:c r="V179" s="22"/>
    </x:row>
    <x:row r="180">
      <x:c r="A180" s="22"/>
      <x:c r="B180" s="28"/>
      <x:c r="C180" s="22"/>
      <x:c r="D180" s="22"/>
      <x:c r="E180" s="22"/>
      <x:c r="F180" s="22"/>
      <x:c r="G180" s="22"/>
      <x:c r="H180" s="22"/>
      <x:c r="I180" s="22"/>
      <x:c r="J180" s="22"/>
      <x:c r="K180" s="24"/>
      <x:c r="L180" s="36" t="str">
        <x:f>IF(K180="","",K180*IF(M180="USD",N180,1))</x:f>
      </x:c>
      <x:c r="M180" s="22"/>
      <x:c r="N180" s="36" t="n">
        <x:f>IF(M180="USD",Settings!$B$7,1)</x:f>
        <x:v>1</x:v>
      </x:c>
      <x:c r="O180" s="22"/>
      <x:c r="P180" s="22"/>
      <x:c r="Q180" s="22"/>
      <x:c r="R180" s="22"/>
      <x:c r="S180" s="22"/>
      <x:c r="T180" s="22"/>
      <x:c r="U180" s="22"/>
      <x:c r="V180" s="22"/>
    </x:row>
    <x:row r="181">
      <x:c r="A181" s="22"/>
      <x:c r="B181" s="28"/>
      <x:c r="C181" s="22"/>
      <x:c r="D181" s="22"/>
      <x:c r="E181" s="22"/>
      <x:c r="F181" s="22"/>
      <x:c r="G181" s="22"/>
      <x:c r="H181" s="22"/>
      <x:c r="I181" s="22"/>
      <x:c r="J181" s="22"/>
      <x:c r="K181" s="24"/>
      <x:c r="L181" s="36" t="str">
        <x:f>IF(K181="","",K181*IF(M181="USD",N181,1))</x:f>
      </x:c>
      <x:c r="M181" s="22"/>
      <x:c r="N181" s="36" t="n">
        <x:f>IF(M181="USD",Settings!$B$7,1)</x:f>
        <x:v>1</x:v>
      </x:c>
      <x:c r="O181" s="22"/>
      <x:c r="P181" s="22"/>
      <x:c r="Q181" s="22"/>
      <x:c r="R181" s="22"/>
      <x:c r="S181" s="22"/>
      <x:c r="T181" s="22"/>
      <x:c r="U181" s="22"/>
      <x:c r="V181" s="22"/>
    </x:row>
    <x:row r="182">
      <x:c r="A182" s="22"/>
      <x:c r="B182" s="28"/>
      <x:c r="C182" s="22"/>
      <x:c r="D182" s="22"/>
      <x:c r="E182" s="22"/>
      <x:c r="F182" s="22"/>
      <x:c r="G182" s="22"/>
      <x:c r="H182" s="22"/>
      <x:c r="I182" s="22"/>
      <x:c r="J182" s="22"/>
      <x:c r="K182" s="24"/>
      <x:c r="L182" s="36" t="str">
        <x:f>IF(K182="","",K182*IF(M182="USD",N182,1))</x:f>
      </x:c>
      <x:c r="M182" s="22"/>
      <x:c r="N182" s="36" t="n">
        <x:f>IF(M182="USD",Settings!$B$7,1)</x:f>
        <x:v>1</x:v>
      </x:c>
      <x:c r="O182" s="22"/>
      <x:c r="P182" s="22"/>
      <x:c r="Q182" s="22"/>
      <x:c r="R182" s="22"/>
      <x:c r="S182" s="22"/>
      <x:c r="T182" s="22"/>
      <x:c r="U182" s="22"/>
      <x:c r="V182" s="22"/>
    </x:row>
    <x:row r="183">
      <x:c r="A183" s="22"/>
      <x:c r="B183" s="28"/>
      <x:c r="C183" s="22"/>
      <x:c r="D183" s="22"/>
      <x:c r="E183" s="22"/>
      <x:c r="F183" s="22"/>
      <x:c r="G183" s="22"/>
      <x:c r="H183" s="22"/>
      <x:c r="I183" s="22"/>
      <x:c r="J183" s="22"/>
      <x:c r="K183" s="24"/>
      <x:c r="L183" s="36" t="str">
        <x:f>IF(K183="","",K183*IF(M183="USD",N183,1))</x:f>
      </x:c>
      <x:c r="M183" s="22"/>
      <x:c r="N183" s="36" t="n">
        <x:f>IF(M183="USD",Settings!$B$7,1)</x:f>
        <x:v>1</x:v>
      </x:c>
      <x:c r="O183" s="22"/>
      <x:c r="P183" s="22"/>
      <x:c r="Q183" s="22"/>
      <x:c r="R183" s="22"/>
      <x:c r="S183" s="22"/>
      <x:c r="T183" s="22"/>
      <x:c r="U183" s="22"/>
      <x:c r="V183" s="22"/>
    </x:row>
    <x:row r="184">
      <x:c r="A184" s="22"/>
      <x:c r="B184" s="28"/>
      <x:c r="C184" s="22"/>
      <x:c r="D184" s="22"/>
      <x:c r="E184" s="22"/>
      <x:c r="F184" s="22"/>
      <x:c r="G184" s="22"/>
      <x:c r="H184" s="22"/>
      <x:c r="I184" s="22"/>
      <x:c r="J184" s="22"/>
      <x:c r="K184" s="24"/>
      <x:c r="L184" s="36" t="str">
        <x:f>IF(K184="","",K184*IF(M184="USD",N184,1))</x:f>
      </x:c>
      <x:c r="M184" s="22"/>
      <x:c r="N184" s="36" t="n">
        <x:f>IF(M184="USD",Settings!$B$7,1)</x:f>
        <x:v>1</x:v>
      </x:c>
      <x:c r="O184" s="22"/>
      <x:c r="P184" s="22"/>
      <x:c r="Q184" s="22"/>
      <x:c r="R184" s="22"/>
      <x:c r="S184" s="22"/>
      <x:c r="T184" s="22"/>
      <x:c r="U184" s="22"/>
      <x:c r="V184" s="22"/>
    </x:row>
    <x:row r="185">
      <x:c r="A185" s="22"/>
      <x:c r="B185" s="28"/>
      <x:c r="C185" s="22"/>
      <x:c r="D185" s="22"/>
      <x:c r="E185" s="22"/>
      <x:c r="F185" s="22"/>
      <x:c r="G185" s="22"/>
      <x:c r="H185" s="22"/>
      <x:c r="I185" s="22"/>
      <x:c r="J185" s="22"/>
      <x:c r="K185" s="24"/>
      <x:c r="L185" s="36" t="str">
        <x:f>IF(K185="","",K185*IF(M185="USD",N185,1))</x:f>
      </x:c>
      <x:c r="M185" s="22"/>
      <x:c r="N185" s="36" t="n">
        <x:f>IF(M185="USD",Settings!$B$7,1)</x:f>
        <x:v>1</x:v>
      </x:c>
      <x:c r="O185" s="22"/>
      <x:c r="P185" s="22"/>
      <x:c r="Q185" s="22"/>
      <x:c r="R185" s="22"/>
      <x:c r="S185" s="22"/>
      <x:c r="T185" s="22"/>
      <x:c r="U185" s="22"/>
      <x:c r="V185" s="22"/>
    </x:row>
    <x:row r="186">
      <x:c r="A186" s="22"/>
      <x:c r="B186" s="28"/>
      <x:c r="C186" s="22"/>
      <x:c r="D186" s="22"/>
      <x:c r="E186" s="22"/>
      <x:c r="F186" s="22"/>
      <x:c r="G186" s="22"/>
      <x:c r="H186" s="22"/>
      <x:c r="I186" s="22"/>
      <x:c r="J186" s="22"/>
      <x:c r="K186" s="24"/>
      <x:c r="L186" s="36" t="str">
        <x:f>IF(K186="","",K186*IF(M186="USD",N186,1))</x:f>
      </x:c>
      <x:c r="M186" s="22"/>
      <x:c r="N186" s="36" t="n">
        <x:f>IF(M186="USD",Settings!$B$7,1)</x:f>
        <x:v>1</x:v>
      </x:c>
      <x:c r="O186" s="22"/>
      <x:c r="P186" s="22"/>
      <x:c r="Q186" s="22"/>
      <x:c r="R186" s="22"/>
      <x:c r="S186" s="22"/>
      <x:c r="T186" s="22"/>
      <x:c r="U186" s="22"/>
      <x:c r="V186" s="22"/>
    </x:row>
    <x:row r="187">
      <x:c r="A187" s="22"/>
      <x:c r="B187" s="28"/>
      <x:c r="C187" s="22"/>
      <x:c r="D187" s="22"/>
      <x:c r="E187" s="22"/>
      <x:c r="F187" s="22"/>
      <x:c r="G187" s="22"/>
      <x:c r="H187" s="22"/>
      <x:c r="I187" s="22"/>
      <x:c r="J187" s="22"/>
      <x:c r="K187" s="24"/>
      <x:c r="L187" s="36" t="str">
        <x:f>IF(K187="","",K187*IF(M187="USD",N187,1))</x:f>
      </x:c>
      <x:c r="M187" s="22"/>
      <x:c r="N187" s="36" t="n">
        <x:f>IF(M187="USD",Settings!$B$7,1)</x:f>
        <x:v>1</x:v>
      </x:c>
      <x:c r="O187" s="22"/>
      <x:c r="P187" s="22"/>
      <x:c r="Q187" s="22"/>
      <x:c r="R187" s="22"/>
      <x:c r="S187" s="22"/>
      <x:c r="T187" s="22"/>
      <x:c r="U187" s="22"/>
      <x:c r="V187" s="22"/>
    </x:row>
    <x:row r="188">
      <x:c r="A188" s="22"/>
      <x:c r="B188" s="28"/>
      <x:c r="C188" s="22"/>
      <x:c r="D188" s="22"/>
      <x:c r="E188" s="22"/>
      <x:c r="F188" s="22"/>
      <x:c r="G188" s="22"/>
      <x:c r="H188" s="22"/>
      <x:c r="I188" s="22"/>
      <x:c r="J188" s="22"/>
      <x:c r="K188" s="24"/>
      <x:c r="L188" s="36" t="str">
        <x:f>IF(K188="","",K188*IF(M188="USD",N188,1))</x:f>
      </x:c>
      <x:c r="M188" s="22"/>
      <x:c r="N188" s="36" t="n">
        <x:f>IF(M188="USD",Settings!$B$7,1)</x:f>
        <x:v>1</x:v>
      </x:c>
      <x:c r="O188" s="22"/>
      <x:c r="P188" s="22"/>
      <x:c r="Q188" s="22"/>
      <x:c r="R188" s="22"/>
      <x:c r="S188" s="22"/>
      <x:c r="T188" s="22"/>
      <x:c r="U188" s="22"/>
      <x:c r="V188" s="22"/>
    </x:row>
    <x:row r="189">
      <x:c r="A189" s="22"/>
      <x:c r="B189" s="28"/>
      <x:c r="C189" s="22"/>
      <x:c r="D189" s="22"/>
      <x:c r="E189" s="22"/>
      <x:c r="F189" s="22"/>
      <x:c r="G189" s="22"/>
      <x:c r="H189" s="22"/>
      <x:c r="I189" s="22"/>
      <x:c r="J189" s="22"/>
      <x:c r="K189" s="24"/>
      <x:c r="L189" s="36" t="str">
        <x:f>IF(K189="","",K189*IF(M189="USD",N189,1))</x:f>
      </x:c>
      <x:c r="M189" s="22"/>
      <x:c r="N189" s="36" t="n">
        <x:f>IF(M189="USD",Settings!$B$7,1)</x:f>
        <x:v>1</x:v>
      </x:c>
      <x:c r="O189" s="22"/>
      <x:c r="P189" s="22"/>
      <x:c r="Q189" s="22"/>
      <x:c r="R189" s="22"/>
      <x:c r="S189" s="22"/>
      <x:c r="T189" s="22"/>
      <x:c r="U189" s="22"/>
      <x:c r="V189" s="22"/>
    </x:row>
    <x:row r="190">
      <x:c r="A190" s="22"/>
      <x:c r="B190" s="28"/>
      <x:c r="C190" s="22"/>
      <x:c r="D190" s="22"/>
      <x:c r="E190" s="22"/>
      <x:c r="F190" s="22"/>
      <x:c r="G190" s="22"/>
      <x:c r="H190" s="22"/>
      <x:c r="I190" s="22"/>
      <x:c r="J190" s="22"/>
      <x:c r="K190" s="24"/>
      <x:c r="L190" s="36" t="str">
        <x:f>IF(K190="","",K190*IF(M190="USD",N190,1))</x:f>
      </x:c>
      <x:c r="M190" s="22"/>
      <x:c r="N190" s="36" t="n">
        <x:f>IF(M190="USD",Settings!$B$7,1)</x:f>
        <x:v>1</x:v>
      </x:c>
      <x:c r="O190" s="22"/>
      <x:c r="P190" s="22"/>
      <x:c r="Q190" s="22"/>
      <x:c r="R190" s="22"/>
      <x:c r="S190" s="22"/>
      <x:c r="T190" s="22"/>
      <x:c r="U190" s="22"/>
      <x:c r="V190" s="22"/>
    </x:row>
    <x:row r="191">
      <x:c r="A191" s="22"/>
      <x:c r="B191" s="28"/>
      <x:c r="C191" s="22"/>
      <x:c r="D191" s="22"/>
      <x:c r="E191" s="22"/>
      <x:c r="F191" s="22"/>
      <x:c r="G191" s="22"/>
      <x:c r="H191" s="22"/>
      <x:c r="I191" s="22"/>
      <x:c r="J191" s="22"/>
      <x:c r="K191" s="24"/>
      <x:c r="L191" s="36" t="str">
        <x:f>IF(K191="","",K191*IF(M191="USD",N191,1))</x:f>
      </x:c>
      <x:c r="M191" s="22"/>
      <x:c r="N191" s="36" t="n">
        <x:f>IF(M191="USD",Settings!$B$7,1)</x:f>
        <x:v>1</x:v>
      </x:c>
      <x:c r="O191" s="22"/>
      <x:c r="P191" s="22"/>
      <x:c r="Q191" s="22"/>
      <x:c r="R191" s="22"/>
      <x:c r="S191" s="22"/>
      <x:c r="T191" s="22"/>
      <x:c r="U191" s="22"/>
      <x:c r="V191" s="22"/>
    </x:row>
    <x:row r="192">
      <x:c r="A192" s="22"/>
      <x:c r="B192" s="28"/>
      <x:c r="C192" s="22"/>
      <x:c r="D192" s="22"/>
      <x:c r="E192" s="22"/>
      <x:c r="F192" s="22"/>
      <x:c r="G192" s="22"/>
      <x:c r="H192" s="22"/>
      <x:c r="I192" s="22"/>
      <x:c r="J192" s="22"/>
      <x:c r="K192" s="24"/>
      <x:c r="L192" s="36" t="str">
        <x:f>IF(K192="","",K192*IF(M192="USD",N192,1))</x:f>
      </x:c>
      <x:c r="M192" s="22"/>
      <x:c r="N192" s="36" t="n">
        <x:f>IF(M192="USD",Settings!$B$7,1)</x:f>
        <x:v>1</x:v>
      </x:c>
      <x:c r="O192" s="22"/>
      <x:c r="P192" s="22"/>
      <x:c r="Q192" s="22"/>
      <x:c r="R192" s="22"/>
      <x:c r="S192" s="22"/>
      <x:c r="T192" s="22"/>
      <x:c r="U192" s="22"/>
      <x:c r="V192" s="22"/>
    </x:row>
    <x:row r="193">
      <x:c r="A193" s="22"/>
      <x:c r="B193" s="28"/>
      <x:c r="C193" s="22"/>
      <x:c r="D193" s="22"/>
      <x:c r="E193" s="22"/>
      <x:c r="F193" s="22"/>
      <x:c r="G193" s="22"/>
      <x:c r="H193" s="22"/>
      <x:c r="I193" s="22"/>
      <x:c r="J193" s="22"/>
      <x:c r="K193" s="24"/>
      <x:c r="L193" s="36" t="str">
        <x:f>IF(K193="","",K193*IF(M193="USD",N193,1))</x:f>
      </x:c>
      <x:c r="M193" s="22"/>
      <x:c r="N193" s="36" t="n">
        <x:f>IF(M193="USD",Settings!$B$7,1)</x:f>
        <x:v>1</x:v>
      </x:c>
      <x:c r="O193" s="22"/>
      <x:c r="P193" s="22"/>
      <x:c r="Q193" s="22"/>
      <x:c r="R193" s="22"/>
      <x:c r="S193" s="22"/>
      <x:c r="T193" s="22"/>
      <x:c r="U193" s="22"/>
      <x:c r="V193" s="22"/>
    </x:row>
    <x:row r="194">
      <x:c r="A194" s="22"/>
      <x:c r="B194" s="28"/>
      <x:c r="C194" s="22"/>
      <x:c r="D194" s="22"/>
      <x:c r="E194" s="22"/>
      <x:c r="F194" s="22"/>
      <x:c r="G194" s="22"/>
      <x:c r="H194" s="22"/>
      <x:c r="I194" s="22"/>
      <x:c r="J194" s="22"/>
      <x:c r="K194" s="24"/>
      <x:c r="L194" s="36" t="str">
        <x:f>IF(K194="","",K194*IF(M194="USD",N194,1))</x:f>
      </x:c>
      <x:c r="M194" s="22"/>
      <x:c r="N194" s="36" t="n">
        <x:f>IF(M194="USD",Settings!$B$7,1)</x:f>
        <x:v>1</x:v>
      </x:c>
      <x:c r="O194" s="22"/>
      <x:c r="P194" s="22"/>
      <x:c r="Q194" s="22"/>
      <x:c r="R194" s="22"/>
      <x:c r="S194" s="22"/>
      <x:c r="T194" s="22"/>
      <x:c r="U194" s="22"/>
      <x:c r="V194" s="22"/>
    </x:row>
    <x:row r="195">
      <x:c r="A195" s="22"/>
      <x:c r="B195" s="28"/>
      <x:c r="C195" s="22"/>
      <x:c r="D195" s="22"/>
      <x:c r="E195" s="22"/>
      <x:c r="F195" s="22"/>
      <x:c r="G195" s="22"/>
      <x:c r="H195" s="22"/>
      <x:c r="I195" s="22"/>
      <x:c r="J195" s="22"/>
      <x:c r="K195" s="24"/>
      <x:c r="L195" s="36" t="str">
        <x:f>IF(K195="","",K195*IF(M195="USD",N195,1))</x:f>
      </x:c>
      <x:c r="M195" s="22"/>
      <x:c r="N195" s="36" t="n">
        <x:f>IF(M195="USD",Settings!$B$7,1)</x:f>
        <x:v>1</x:v>
      </x:c>
      <x:c r="O195" s="22"/>
      <x:c r="P195" s="22"/>
      <x:c r="Q195" s="22"/>
      <x:c r="R195" s="22"/>
      <x:c r="S195" s="22"/>
      <x:c r="T195" s="22"/>
      <x:c r="U195" s="22"/>
      <x:c r="V195" s="22"/>
    </x:row>
    <x:row r="196">
      <x:c r="A196" s="22"/>
      <x:c r="B196" s="28"/>
      <x:c r="C196" s="22"/>
      <x:c r="D196" s="22"/>
      <x:c r="E196" s="22"/>
      <x:c r="F196" s="22"/>
      <x:c r="G196" s="22"/>
      <x:c r="H196" s="22"/>
      <x:c r="I196" s="22"/>
      <x:c r="J196" s="22"/>
      <x:c r="K196" s="24"/>
      <x:c r="L196" s="36" t="str">
        <x:f>IF(K196="","",K196*IF(M196="USD",N196,1))</x:f>
      </x:c>
      <x:c r="M196" s="22"/>
      <x:c r="N196" s="36" t="n">
        <x:f>IF(M196="USD",Settings!$B$7,1)</x:f>
        <x:v>1</x:v>
      </x:c>
      <x:c r="O196" s="22"/>
      <x:c r="P196" s="22"/>
      <x:c r="Q196" s="22"/>
      <x:c r="R196" s="22"/>
      <x:c r="S196" s="22"/>
      <x:c r="T196" s="22"/>
      <x:c r="U196" s="22"/>
      <x:c r="V196" s="22"/>
    </x:row>
    <x:row r="197">
      <x:c r="A197" s="22"/>
      <x:c r="B197" s="28"/>
      <x:c r="C197" s="22"/>
      <x:c r="D197" s="22"/>
      <x:c r="E197" s="22"/>
      <x:c r="F197" s="22"/>
      <x:c r="G197" s="22"/>
      <x:c r="H197" s="22"/>
      <x:c r="I197" s="22"/>
      <x:c r="J197" s="22"/>
      <x:c r="K197" s="24"/>
      <x:c r="L197" s="36" t="str">
        <x:f>IF(K197="","",K197*IF(M197="USD",N197,1))</x:f>
      </x:c>
      <x:c r="M197" s="22"/>
      <x:c r="N197" s="36" t="n">
        <x:f>IF(M197="USD",Settings!$B$7,1)</x:f>
        <x:v>1</x:v>
      </x:c>
      <x:c r="O197" s="22"/>
      <x:c r="P197" s="22"/>
      <x:c r="Q197" s="22"/>
      <x:c r="R197" s="22"/>
      <x:c r="S197" s="22"/>
      <x:c r="T197" s="22"/>
      <x:c r="U197" s="22"/>
      <x:c r="V197" s="22"/>
    </x:row>
    <x:row r="198">
      <x:c r="A198" s="22"/>
      <x:c r="B198" s="28"/>
      <x:c r="C198" s="22"/>
      <x:c r="D198" s="22"/>
      <x:c r="E198" s="22"/>
      <x:c r="F198" s="22"/>
      <x:c r="G198" s="22"/>
      <x:c r="H198" s="22"/>
      <x:c r="I198" s="22"/>
      <x:c r="J198" s="22"/>
      <x:c r="K198" s="24"/>
      <x:c r="L198" s="36" t="str">
        <x:f>IF(K198="","",K198*IF(M198="USD",N198,1))</x:f>
      </x:c>
      <x:c r="M198" s="22"/>
      <x:c r="N198" s="36" t="n">
        <x:f>IF(M198="USD",Settings!$B$7,1)</x:f>
        <x:v>1</x:v>
      </x:c>
      <x:c r="O198" s="22"/>
      <x:c r="P198" s="22"/>
      <x:c r="Q198" s="22"/>
      <x:c r="R198" s="22"/>
      <x:c r="S198" s="22"/>
      <x:c r="T198" s="22"/>
      <x:c r="U198" s="22"/>
      <x:c r="V198" s="22"/>
    </x:row>
    <x:row r="199">
      <x:c r="A199" s="22"/>
      <x:c r="B199" s="28"/>
      <x:c r="C199" s="22"/>
      <x:c r="D199" s="22"/>
      <x:c r="E199" s="22"/>
      <x:c r="F199" s="22"/>
      <x:c r="G199" s="22"/>
      <x:c r="H199" s="22"/>
      <x:c r="I199" s="22"/>
      <x:c r="J199" s="22"/>
      <x:c r="K199" s="24"/>
      <x:c r="L199" s="36" t="str">
        <x:f>IF(K199="","",K199*IF(M199="USD",N199,1))</x:f>
      </x:c>
      <x:c r="M199" s="22"/>
      <x:c r="N199" s="36" t="n">
        <x:f>IF(M199="USD",Settings!$B$7,1)</x:f>
        <x:v>1</x:v>
      </x:c>
      <x:c r="O199" s="22"/>
      <x:c r="P199" s="22"/>
      <x:c r="Q199" s="22"/>
      <x:c r="R199" s="22"/>
      <x:c r="S199" s="22"/>
      <x:c r="T199" s="22"/>
      <x:c r="U199" s="22"/>
      <x:c r="V199" s="22"/>
    </x:row>
    <x:row r="200">
      <x:c r="A200" s="22"/>
      <x:c r="B200" s="28"/>
      <x:c r="C200" s="22"/>
      <x:c r="D200" s="22"/>
      <x:c r="E200" s="22"/>
      <x:c r="F200" s="22"/>
      <x:c r="G200" s="22"/>
      <x:c r="H200" s="22"/>
      <x:c r="I200" s="22"/>
      <x:c r="J200" s="22"/>
      <x:c r="K200" s="24"/>
      <x:c r="L200" s="36" t="str">
        <x:f>IF(K200="","",K200*IF(M200="USD",N200,1))</x:f>
      </x:c>
      <x:c r="M200" s="22"/>
      <x:c r="N200" s="36" t="n">
        <x:f>IF(M200="USD",Settings!$B$7,1)</x:f>
        <x:v>1</x:v>
      </x:c>
      <x:c r="O200" s="22"/>
      <x:c r="P200" s="22"/>
      <x:c r="Q200" s="22"/>
      <x:c r="R200" s="22"/>
      <x:c r="S200" s="22"/>
      <x:c r="T200" s="22"/>
      <x:c r="U200" s="22"/>
      <x:c r="V200" s="22"/>
    </x:row>
    <x:row r="201">
      <x:c r="A201" s="22"/>
      <x:c r="B201" s="28"/>
      <x:c r="C201" s="22"/>
      <x:c r="D201" s="22"/>
      <x:c r="E201" s="22"/>
      <x:c r="F201" s="22"/>
      <x:c r="G201" s="22"/>
      <x:c r="H201" s="22"/>
      <x:c r="I201" s="22"/>
      <x:c r="J201" s="22"/>
      <x:c r="K201" s="24"/>
      <x:c r="L201" s="36" t="str">
        <x:f>IF(K201="","",K201*IF(M201="USD",N201,1))</x:f>
      </x:c>
      <x:c r="M201" s="22"/>
      <x:c r="N201" s="36" t="n">
        <x:f>IF(M201="USD",Settings!$B$7,1)</x:f>
        <x:v>1</x:v>
      </x:c>
      <x:c r="O201" s="22"/>
      <x:c r="P201" s="22"/>
      <x:c r="Q201" s="22"/>
      <x:c r="R201" s="22"/>
      <x:c r="S201" s="22"/>
      <x:c r="T201" s="22"/>
      <x:c r="U201" s="22"/>
      <x:c r="V201" s="22"/>
    </x:row>
    <x:row r="202">
      <x:c r="A202" s="22"/>
      <x:c r="B202" s="28"/>
      <x:c r="C202" s="22"/>
      <x:c r="D202" s="22"/>
      <x:c r="E202" s="22"/>
      <x:c r="F202" s="22"/>
      <x:c r="G202" s="22"/>
      <x:c r="H202" s="22"/>
      <x:c r="I202" s="22"/>
      <x:c r="J202" s="22"/>
      <x:c r="K202" s="24"/>
      <x:c r="L202" s="36" t="str">
        <x:f>IF(K202="","",K202*IF(M202="USD",N202,1))</x:f>
      </x:c>
      <x:c r="M202" s="22"/>
      <x:c r="N202" s="36" t="n">
        <x:f>IF(M202="USD",Settings!$B$7,1)</x:f>
        <x:v>1</x:v>
      </x:c>
      <x:c r="O202" s="22"/>
      <x:c r="P202" s="22"/>
      <x:c r="Q202" s="22"/>
      <x:c r="R202" s="22"/>
      <x:c r="S202" s="22"/>
      <x:c r="T202" s="22"/>
      <x:c r="U202" s="22"/>
      <x:c r="V202" s="22"/>
    </x:row>
    <x:row r="203">
      <x:c r="A203" s="22"/>
      <x:c r="B203" s="28"/>
      <x:c r="C203" s="22"/>
      <x:c r="D203" s="22"/>
      <x:c r="E203" s="22"/>
      <x:c r="F203" s="22"/>
      <x:c r="G203" s="22"/>
      <x:c r="H203" s="22"/>
      <x:c r="I203" s="22"/>
      <x:c r="J203" s="22"/>
      <x:c r="K203" s="24"/>
      <x:c r="L203" s="36" t="str">
        <x:f>IF(K203="","",K203*IF(M203="USD",N203,1))</x:f>
      </x:c>
      <x:c r="M203" s="22"/>
      <x:c r="N203" s="36" t="n">
        <x:f>IF(M203="USD",Settings!$B$7,1)</x:f>
        <x:v>1</x:v>
      </x:c>
      <x:c r="O203" s="22"/>
      <x:c r="P203" s="22"/>
      <x:c r="Q203" s="22"/>
      <x:c r="R203" s="22"/>
      <x:c r="S203" s="22"/>
      <x:c r="T203" s="22"/>
      <x:c r="U203" s="22"/>
      <x:c r="V203" s="22"/>
    </x:row>
    <x:row r="204">
      <x:c r="A204" s="22"/>
      <x:c r="B204" s="28"/>
      <x:c r="C204" s="22"/>
      <x:c r="D204" s="22"/>
      <x:c r="E204" s="22"/>
      <x:c r="F204" s="22"/>
      <x:c r="G204" s="22"/>
      <x:c r="H204" s="22"/>
      <x:c r="I204" s="22"/>
      <x:c r="J204" s="22"/>
      <x:c r="K204" s="24"/>
      <x:c r="L204" s="36" t="str">
        <x:f>IF(K204="","",K204*IF(M204="USD",N204,1))</x:f>
      </x:c>
      <x:c r="M204" s="22"/>
      <x:c r="N204" s="36" t="n">
        <x:f>IF(M204="USD",Settings!$B$7,1)</x:f>
        <x:v>1</x:v>
      </x:c>
      <x:c r="O204" s="22"/>
      <x:c r="P204" s="22"/>
      <x:c r="Q204" s="22"/>
      <x:c r="R204" s="22"/>
      <x:c r="S204" s="22"/>
      <x:c r="T204" s="22"/>
      <x:c r="U204" s="22"/>
      <x:c r="V204" s="22"/>
    </x:row>
    <x:row r="205">
      <x:c r="A205" s="22"/>
      <x:c r="B205" s="28"/>
      <x:c r="C205" s="22"/>
      <x:c r="D205" s="22"/>
      <x:c r="E205" s="22"/>
      <x:c r="F205" s="22"/>
      <x:c r="G205" s="22"/>
      <x:c r="H205" s="22"/>
      <x:c r="I205" s="22"/>
      <x:c r="J205" s="22"/>
      <x:c r="K205" s="24"/>
      <x:c r="L205" s="36" t="str">
        <x:f>IF(K205="","",K205*IF(M205="USD",N205,1))</x:f>
      </x:c>
      <x:c r="M205" s="22"/>
      <x:c r="N205" s="36" t="n">
        <x:f>IF(M205="USD",Settings!$B$7,1)</x:f>
        <x:v>1</x:v>
      </x:c>
      <x:c r="O205" s="22"/>
      <x:c r="P205" s="22"/>
      <x:c r="Q205" s="22"/>
      <x:c r="R205" s="22"/>
      <x:c r="S205" s="22"/>
      <x:c r="T205" s="22"/>
      <x:c r="U205" s="22"/>
      <x:c r="V205" s="22"/>
    </x:row>
    <x:row r="206">
      <x:c r="A206" s="22"/>
      <x:c r="B206" s="28"/>
      <x:c r="C206" s="22"/>
      <x:c r="D206" s="22"/>
      <x:c r="E206" s="22"/>
      <x:c r="F206" s="22"/>
      <x:c r="G206" s="22"/>
      <x:c r="H206" s="22"/>
      <x:c r="I206" s="22"/>
      <x:c r="J206" s="22"/>
      <x:c r="K206" s="24"/>
      <x:c r="L206" s="36" t="str">
        <x:f>IF(K206="","",K206*IF(M206="USD",N206,1))</x:f>
      </x:c>
      <x:c r="M206" s="22"/>
      <x:c r="N206" s="36" t="n">
        <x:f>IF(M206="USD",Settings!$B$7,1)</x:f>
        <x:v>1</x:v>
      </x:c>
      <x:c r="O206" s="22"/>
      <x:c r="P206" s="22"/>
      <x:c r="Q206" s="22"/>
      <x:c r="R206" s="22"/>
      <x:c r="S206" s="22"/>
      <x:c r="T206" s="22"/>
      <x:c r="U206" s="22"/>
      <x:c r="V206" s="22"/>
    </x:row>
    <x:row r="207">
      <x:c r="A207" s="22"/>
      <x:c r="B207" s="28"/>
      <x:c r="C207" s="22"/>
      <x:c r="D207" s="22"/>
      <x:c r="E207" s="22"/>
      <x:c r="F207" s="22"/>
      <x:c r="G207" s="22"/>
      <x:c r="H207" s="22"/>
      <x:c r="I207" s="22"/>
      <x:c r="J207" s="22"/>
      <x:c r="K207" s="24"/>
      <x:c r="L207" s="36" t="str">
        <x:f>IF(K207="","",K207*IF(M207="USD",N207,1))</x:f>
      </x:c>
      <x:c r="M207" s="22"/>
      <x:c r="N207" s="36" t="n">
        <x:f>IF(M207="USD",Settings!$B$7,1)</x:f>
        <x:v>1</x:v>
      </x:c>
      <x:c r="O207" s="22"/>
      <x:c r="P207" s="22"/>
      <x:c r="Q207" s="22"/>
      <x:c r="R207" s="22"/>
      <x:c r="S207" s="22"/>
      <x:c r="T207" s="22"/>
      <x:c r="U207" s="22"/>
      <x:c r="V207" s="22"/>
    </x:row>
    <x:row r="208">
      <x:c r="A208" s="22"/>
      <x:c r="B208" s="28"/>
      <x:c r="C208" s="22"/>
      <x:c r="D208" s="22"/>
      <x:c r="E208" s="22"/>
      <x:c r="F208" s="22"/>
      <x:c r="G208" s="22"/>
      <x:c r="H208" s="22"/>
      <x:c r="I208" s="22"/>
      <x:c r="J208" s="22"/>
      <x:c r="K208" s="24"/>
      <x:c r="L208" s="36" t="str">
        <x:f>IF(K208="","",K208*IF(M208="USD",N208,1))</x:f>
      </x:c>
      <x:c r="M208" s="22"/>
      <x:c r="N208" s="36" t="n">
        <x:f>IF(M208="USD",Settings!$B$7,1)</x:f>
        <x:v>1</x:v>
      </x:c>
      <x:c r="O208" s="22"/>
      <x:c r="P208" s="22"/>
      <x:c r="Q208" s="22"/>
      <x:c r="R208" s="22"/>
      <x:c r="S208" s="22"/>
      <x:c r="T208" s="22"/>
      <x:c r="U208" s="22"/>
      <x:c r="V208" s="22"/>
    </x:row>
    <x:row r="209">
      <x:c r="A209" s="22"/>
      <x:c r="B209" s="28"/>
      <x:c r="C209" s="22"/>
      <x:c r="D209" s="22"/>
      <x:c r="E209" s="22"/>
      <x:c r="F209" s="22"/>
      <x:c r="G209" s="22"/>
      <x:c r="H209" s="22"/>
      <x:c r="I209" s="22"/>
      <x:c r="J209" s="22"/>
      <x:c r="K209" s="24"/>
      <x:c r="L209" s="36" t="str">
        <x:f>IF(K209="","",K209*IF(M209="USD",N209,1))</x:f>
      </x:c>
      <x:c r="M209" s="22"/>
      <x:c r="N209" s="36" t="n">
        <x:f>IF(M209="USD",Settings!$B$7,1)</x:f>
        <x:v>1</x:v>
      </x:c>
      <x:c r="O209" s="22"/>
      <x:c r="P209" s="22"/>
      <x:c r="Q209" s="22"/>
      <x:c r="R209" s="22"/>
      <x:c r="S209" s="22"/>
      <x:c r="T209" s="22"/>
      <x:c r="U209" s="22"/>
      <x:c r="V209" s="22"/>
    </x:row>
    <x:row r="210">
      <x:c r="A210" s="22"/>
      <x:c r="B210" s="28"/>
      <x:c r="C210" s="22"/>
      <x:c r="D210" s="22"/>
      <x:c r="E210" s="22"/>
      <x:c r="F210" s="22"/>
      <x:c r="G210" s="22"/>
      <x:c r="H210" s="22"/>
      <x:c r="I210" s="22"/>
      <x:c r="J210" s="22"/>
      <x:c r="K210" s="24"/>
      <x:c r="L210" s="36" t="str">
        <x:f>IF(K210="","",K210*IF(M210="USD",N210,1))</x:f>
      </x:c>
      <x:c r="M210" s="22"/>
      <x:c r="N210" s="36" t="n">
        <x:f>IF(M210="USD",Settings!$B$7,1)</x:f>
        <x:v>1</x:v>
      </x:c>
      <x:c r="O210" s="22"/>
      <x:c r="P210" s="22"/>
      <x:c r="Q210" s="22"/>
      <x:c r="R210" s="22"/>
      <x:c r="S210" s="22"/>
      <x:c r="T210" s="22"/>
      <x:c r="U210" s="22"/>
      <x:c r="V210" s="22"/>
    </x:row>
    <x:row r="211">
      <x:c r="A211" s="22"/>
      <x:c r="B211" s="28"/>
      <x:c r="C211" s="22"/>
      <x:c r="D211" s="22"/>
      <x:c r="E211" s="22"/>
      <x:c r="F211" s="22"/>
      <x:c r="G211" s="22"/>
      <x:c r="H211" s="22"/>
      <x:c r="I211" s="22"/>
      <x:c r="J211" s="22"/>
      <x:c r="K211" s="24"/>
      <x:c r="L211" s="36" t="str">
        <x:f>IF(K211="","",K211*IF(M211="USD",N211,1))</x:f>
      </x:c>
      <x:c r="M211" s="22"/>
      <x:c r="N211" s="36" t="n">
        <x:f>IF(M211="USD",Settings!$B$7,1)</x:f>
        <x:v>1</x:v>
      </x:c>
      <x:c r="O211" s="22"/>
      <x:c r="P211" s="22"/>
      <x:c r="Q211" s="22"/>
      <x:c r="R211" s="22"/>
      <x:c r="S211" s="22"/>
      <x:c r="T211" s="22"/>
      <x:c r="U211" s="22"/>
      <x:c r="V211" s="22"/>
    </x:row>
    <x:row r="212">
      <x:c r="A212" s="22"/>
      <x:c r="B212" s="28"/>
      <x:c r="C212" s="22"/>
      <x:c r="D212" s="22"/>
      <x:c r="E212" s="22"/>
      <x:c r="F212" s="22"/>
      <x:c r="G212" s="22"/>
      <x:c r="H212" s="22"/>
      <x:c r="I212" s="22"/>
      <x:c r="J212" s="22"/>
      <x:c r="K212" s="24"/>
      <x:c r="L212" s="36" t="str">
        <x:f>IF(K212="","",K212*IF(M212="USD",N212,1))</x:f>
      </x:c>
      <x:c r="M212" s="22"/>
      <x:c r="N212" s="36" t="n">
        <x:f>IF(M212="USD",Settings!$B$7,1)</x:f>
        <x:v>1</x:v>
      </x:c>
      <x:c r="O212" s="22"/>
      <x:c r="P212" s="22"/>
      <x:c r="Q212" s="22"/>
      <x:c r="R212" s="22"/>
      <x:c r="S212" s="22"/>
      <x:c r="T212" s="22"/>
      <x:c r="U212" s="22"/>
      <x:c r="V212" s="22"/>
    </x:row>
    <x:row r="213">
      <x:c r="A213" s="22"/>
      <x:c r="B213" s="28"/>
      <x:c r="C213" s="22"/>
      <x:c r="D213" s="22"/>
      <x:c r="E213" s="22"/>
      <x:c r="F213" s="22"/>
      <x:c r="G213" s="22"/>
      <x:c r="H213" s="22"/>
      <x:c r="I213" s="22"/>
      <x:c r="J213" s="22"/>
      <x:c r="K213" s="24"/>
      <x:c r="L213" s="36" t="str">
        <x:f>IF(K213="","",K213*IF(M213="USD",N213,1))</x:f>
      </x:c>
      <x:c r="M213" s="22"/>
      <x:c r="N213" s="36" t="n">
        <x:f>IF(M213="USD",Settings!$B$7,1)</x:f>
        <x:v>1</x:v>
      </x:c>
      <x:c r="O213" s="22"/>
      <x:c r="P213" s="22"/>
      <x:c r="Q213" s="22"/>
      <x:c r="R213" s="22"/>
      <x:c r="S213" s="22"/>
      <x:c r="T213" s="22"/>
      <x:c r="U213" s="22"/>
      <x:c r="V213" s="22"/>
    </x:row>
    <x:row r="214">
      <x:c r="A214" s="22"/>
      <x:c r="B214" s="28"/>
      <x:c r="C214" s="22"/>
      <x:c r="D214" s="22"/>
      <x:c r="E214" s="22"/>
      <x:c r="F214" s="22"/>
      <x:c r="G214" s="22"/>
      <x:c r="H214" s="22"/>
      <x:c r="I214" s="22"/>
      <x:c r="J214" s="22"/>
      <x:c r="K214" s="24"/>
      <x:c r="L214" s="36" t="str">
        <x:f>IF(K214="","",K214*IF(M214="USD",N214,1))</x:f>
      </x:c>
      <x:c r="M214" s="22"/>
      <x:c r="N214" s="36" t="n">
        <x:f>IF(M214="USD",Settings!$B$7,1)</x:f>
        <x:v>1</x:v>
      </x:c>
      <x:c r="O214" s="22"/>
      <x:c r="P214" s="22"/>
      <x:c r="Q214" s="22"/>
      <x:c r="R214" s="22"/>
      <x:c r="S214" s="22"/>
      <x:c r="T214" s="22"/>
      <x:c r="U214" s="22"/>
      <x:c r="V214" s="22"/>
    </x:row>
    <x:row r="215">
      <x:c r="A215" s="22"/>
      <x:c r="B215" s="28"/>
      <x:c r="C215" s="22"/>
      <x:c r="D215" s="22"/>
      <x:c r="E215" s="22"/>
      <x:c r="F215" s="22"/>
      <x:c r="G215" s="22"/>
      <x:c r="H215" s="22"/>
      <x:c r="I215" s="22"/>
      <x:c r="J215" s="22"/>
      <x:c r="K215" s="24"/>
      <x:c r="L215" s="36" t="str">
        <x:f>IF(K215="","",K215*IF(M215="USD",N215,1))</x:f>
      </x:c>
      <x:c r="M215" s="22"/>
      <x:c r="N215" s="36" t="n">
        <x:f>IF(M215="USD",Settings!$B$7,1)</x:f>
        <x:v>1</x:v>
      </x:c>
      <x:c r="O215" s="22"/>
      <x:c r="P215" s="22"/>
      <x:c r="Q215" s="22"/>
      <x:c r="R215" s="22"/>
      <x:c r="S215" s="22"/>
      <x:c r="T215" s="22"/>
      <x:c r="U215" s="22"/>
      <x:c r="V215" s="22"/>
    </x:row>
    <x:row r="216">
      <x:c r="A216" s="22"/>
      <x:c r="B216" s="28"/>
      <x:c r="C216" s="22"/>
      <x:c r="D216" s="22"/>
      <x:c r="E216" s="22"/>
      <x:c r="F216" s="22"/>
      <x:c r="G216" s="22"/>
      <x:c r="H216" s="22"/>
      <x:c r="I216" s="22"/>
      <x:c r="J216" s="22"/>
      <x:c r="K216" s="24"/>
      <x:c r="L216" s="36" t="str">
        <x:f>IF(K216="","",K216*IF(M216="USD",N216,1))</x:f>
      </x:c>
      <x:c r="M216" s="22"/>
      <x:c r="N216" s="36" t="n">
        <x:f>IF(M216="USD",Settings!$B$7,1)</x:f>
        <x:v>1</x:v>
      </x:c>
      <x:c r="O216" s="22"/>
      <x:c r="P216" s="22"/>
      <x:c r="Q216" s="22"/>
      <x:c r="R216" s="22"/>
      <x:c r="S216" s="22"/>
      <x:c r="T216" s="22"/>
      <x:c r="U216" s="22"/>
      <x:c r="V216" s="22"/>
    </x:row>
    <x:row r="217">
      <x:c r="A217" s="22"/>
      <x:c r="B217" s="28"/>
      <x:c r="C217" s="22"/>
      <x:c r="D217" s="22"/>
      <x:c r="E217" s="22"/>
      <x:c r="F217" s="22"/>
      <x:c r="G217" s="22"/>
      <x:c r="H217" s="22"/>
      <x:c r="I217" s="22"/>
      <x:c r="J217" s="22"/>
      <x:c r="K217" s="24"/>
      <x:c r="L217" s="36" t="str">
        <x:f>IF(K217="","",K217*IF(M217="USD",N217,1))</x:f>
      </x:c>
      <x:c r="M217" s="22"/>
      <x:c r="N217" s="36" t="n">
        <x:f>IF(M217="USD",Settings!$B$7,1)</x:f>
        <x:v>1</x:v>
      </x:c>
      <x:c r="O217" s="22"/>
      <x:c r="P217" s="22"/>
      <x:c r="Q217" s="22"/>
      <x:c r="R217" s="22"/>
      <x:c r="S217" s="22"/>
      <x:c r="T217" s="22"/>
      <x:c r="U217" s="22"/>
      <x:c r="V217" s="22"/>
    </x:row>
    <x:row r="218">
      <x:c r="A218" s="22"/>
      <x:c r="B218" s="28"/>
      <x:c r="C218" s="22"/>
      <x:c r="D218" s="22"/>
      <x:c r="E218" s="22"/>
      <x:c r="F218" s="22"/>
      <x:c r="G218" s="22"/>
      <x:c r="H218" s="22"/>
      <x:c r="I218" s="22"/>
      <x:c r="J218" s="22"/>
      <x:c r="K218" s="24"/>
      <x:c r="L218" s="36" t="str">
        <x:f>IF(K218="","",K218*IF(M218="USD",N218,1))</x:f>
      </x:c>
      <x:c r="M218" s="22"/>
      <x:c r="N218" s="36" t="n">
        <x:f>IF(M218="USD",Settings!$B$7,1)</x:f>
        <x:v>1</x:v>
      </x:c>
      <x:c r="O218" s="22"/>
      <x:c r="P218" s="22"/>
      <x:c r="Q218" s="22"/>
      <x:c r="R218" s="22"/>
      <x:c r="S218" s="22"/>
      <x:c r="T218" s="22"/>
      <x:c r="U218" s="22"/>
      <x:c r="V218" s="22"/>
    </x:row>
    <x:row r="219">
      <x:c r="A219" s="22"/>
      <x:c r="B219" s="28"/>
      <x:c r="C219" s="22"/>
      <x:c r="D219" s="22"/>
      <x:c r="E219" s="22"/>
      <x:c r="F219" s="22"/>
      <x:c r="G219" s="22"/>
      <x:c r="H219" s="22"/>
      <x:c r="I219" s="22"/>
      <x:c r="J219" s="22"/>
      <x:c r="K219" s="24"/>
      <x:c r="L219" s="36" t="str">
        <x:f>IF(K219="","",K219*IF(M219="USD",N219,1))</x:f>
      </x:c>
      <x:c r="M219" s="22"/>
      <x:c r="N219" s="36" t="n">
        <x:f>IF(M219="USD",Settings!$B$7,1)</x:f>
        <x:v>1</x:v>
      </x:c>
      <x:c r="O219" s="22"/>
      <x:c r="P219" s="22"/>
      <x:c r="Q219" s="22"/>
      <x:c r="R219" s="22"/>
      <x:c r="S219" s="22"/>
      <x:c r="T219" s="22"/>
      <x:c r="U219" s="22"/>
      <x:c r="V219" s="22"/>
    </x:row>
    <x:row r="220">
      <x:c r="A220" s="22"/>
      <x:c r="B220" s="28"/>
      <x:c r="C220" s="22"/>
      <x:c r="D220" s="22"/>
      <x:c r="E220" s="22"/>
      <x:c r="F220" s="22"/>
      <x:c r="G220" s="22"/>
      <x:c r="H220" s="22"/>
      <x:c r="I220" s="22"/>
      <x:c r="J220" s="22"/>
      <x:c r="K220" s="24"/>
      <x:c r="L220" s="36" t="str">
        <x:f>IF(K220="","",K220*IF(M220="USD",N220,1))</x:f>
      </x:c>
      <x:c r="M220" s="22"/>
      <x:c r="N220" s="36" t="n">
        <x:f>IF(M220="USD",Settings!$B$7,1)</x:f>
        <x:v>1</x:v>
      </x:c>
      <x:c r="O220" s="22"/>
      <x:c r="P220" s="22"/>
      <x:c r="Q220" s="22"/>
      <x:c r="R220" s="22"/>
      <x:c r="S220" s="22"/>
      <x:c r="T220" s="22"/>
      <x:c r="U220" s="22"/>
      <x:c r="V220" s="22"/>
    </x:row>
    <x:row r="221">
      <x:c r="A221" s="22"/>
      <x:c r="B221" s="28"/>
      <x:c r="C221" s="22"/>
      <x:c r="D221" s="22"/>
      <x:c r="E221" s="22"/>
      <x:c r="F221" s="22"/>
      <x:c r="G221" s="22"/>
      <x:c r="H221" s="22"/>
      <x:c r="I221" s="22"/>
      <x:c r="J221" s="22"/>
      <x:c r="K221" s="24"/>
      <x:c r="L221" s="36" t="str">
        <x:f>IF(K221="","",K221*IF(M221="USD",N221,1))</x:f>
      </x:c>
      <x:c r="M221" s="22"/>
      <x:c r="N221" s="36" t="n">
        <x:f>IF(M221="USD",Settings!$B$7,1)</x:f>
        <x:v>1</x:v>
      </x:c>
      <x:c r="O221" s="22"/>
      <x:c r="P221" s="22"/>
      <x:c r="Q221" s="22"/>
      <x:c r="R221" s="22"/>
      <x:c r="S221" s="22"/>
      <x:c r="T221" s="22"/>
      <x:c r="U221" s="22"/>
      <x:c r="V221" s="22"/>
    </x:row>
    <x:row r="222">
      <x:c r="A222" s="22"/>
      <x:c r="B222" s="28"/>
      <x:c r="C222" s="22"/>
      <x:c r="D222" s="22"/>
      <x:c r="E222" s="22"/>
      <x:c r="F222" s="22"/>
      <x:c r="G222" s="22"/>
      <x:c r="H222" s="22"/>
      <x:c r="I222" s="22"/>
      <x:c r="J222" s="22"/>
      <x:c r="K222" s="24"/>
      <x:c r="L222" s="36" t="str">
        <x:f>IF(K222="","",K222*IF(M222="USD",N222,1))</x:f>
      </x:c>
      <x:c r="M222" s="22"/>
      <x:c r="N222" s="36" t="n">
        <x:f>IF(M222="USD",Settings!$B$7,1)</x:f>
        <x:v>1</x:v>
      </x:c>
      <x:c r="O222" s="22"/>
      <x:c r="P222" s="22"/>
      <x:c r="Q222" s="22"/>
      <x:c r="R222" s="22"/>
      <x:c r="S222" s="22"/>
      <x:c r="T222" s="22"/>
      <x:c r="U222" s="22"/>
      <x:c r="V222" s="22"/>
    </x:row>
    <x:row r="223">
      <x:c r="A223" s="22"/>
      <x:c r="B223" s="28"/>
      <x:c r="C223" s="22"/>
      <x:c r="D223" s="22"/>
      <x:c r="E223" s="22"/>
      <x:c r="F223" s="22"/>
      <x:c r="G223" s="22"/>
      <x:c r="H223" s="22"/>
      <x:c r="I223" s="22"/>
      <x:c r="J223" s="22"/>
      <x:c r="K223" s="24"/>
      <x:c r="L223" s="36" t="str">
        <x:f>IF(K223="","",K223*IF(M223="USD",N223,1))</x:f>
      </x:c>
      <x:c r="M223" s="22"/>
      <x:c r="N223" s="36" t="n">
        <x:f>IF(M223="USD",Settings!$B$7,1)</x:f>
        <x:v>1</x:v>
      </x:c>
      <x:c r="O223" s="22"/>
      <x:c r="P223" s="22"/>
      <x:c r="Q223" s="22"/>
      <x:c r="R223" s="22"/>
      <x:c r="S223" s="22"/>
      <x:c r="T223" s="22"/>
      <x:c r="U223" s="22"/>
      <x:c r="V223" s="22"/>
    </x:row>
    <x:row r="224">
      <x:c r="A224" s="22"/>
      <x:c r="B224" s="28"/>
      <x:c r="C224" s="22"/>
      <x:c r="D224" s="22"/>
      <x:c r="E224" s="22"/>
      <x:c r="F224" s="22"/>
      <x:c r="G224" s="22"/>
      <x:c r="H224" s="22"/>
      <x:c r="I224" s="22"/>
      <x:c r="J224" s="22"/>
      <x:c r="K224" s="24"/>
      <x:c r="L224" s="36" t="str">
        <x:f>IF(K224="","",K224*IF(M224="USD",N224,1))</x:f>
      </x:c>
      <x:c r="M224" s="22"/>
      <x:c r="N224" s="36" t="n">
        <x:f>IF(M224="USD",Settings!$B$7,1)</x:f>
        <x:v>1</x:v>
      </x:c>
      <x:c r="O224" s="22"/>
      <x:c r="P224" s="22"/>
      <x:c r="Q224" s="22"/>
      <x:c r="R224" s="22"/>
      <x:c r="S224" s="22"/>
      <x:c r="T224" s="22"/>
      <x:c r="U224" s="22"/>
      <x:c r="V224" s="22"/>
    </x:row>
    <x:row r="225">
      <x:c r="A225" s="22"/>
      <x:c r="B225" s="28"/>
      <x:c r="C225" s="22"/>
      <x:c r="D225" s="22"/>
      <x:c r="E225" s="22"/>
      <x:c r="F225" s="22"/>
      <x:c r="G225" s="22"/>
      <x:c r="H225" s="22"/>
      <x:c r="I225" s="22"/>
      <x:c r="J225" s="22"/>
      <x:c r="K225" s="24"/>
      <x:c r="L225" s="36" t="str">
        <x:f>IF(K225="","",K225*IF(M225="USD",N225,1))</x:f>
      </x:c>
      <x:c r="M225" s="22"/>
      <x:c r="N225" s="36" t="n">
        <x:f>IF(M225="USD",Settings!$B$7,1)</x:f>
        <x:v>1</x:v>
      </x:c>
      <x:c r="O225" s="22"/>
      <x:c r="P225" s="22"/>
      <x:c r="Q225" s="22"/>
      <x:c r="R225" s="22"/>
      <x:c r="S225" s="22"/>
      <x:c r="T225" s="22"/>
      <x:c r="U225" s="22"/>
      <x:c r="V225" s="22"/>
    </x:row>
    <x:row r="226">
      <x:c r="A226" s="22"/>
      <x:c r="B226" s="28"/>
      <x:c r="C226" s="22"/>
      <x:c r="D226" s="22"/>
      <x:c r="E226" s="22"/>
      <x:c r="F226" s="22"/>
      <x:c r="G226" s="22"/>
      <x:c r="H226" s="22"/>
      <x:c r="I226" s="22"/>
      <x:c r="J226" s="22"/>
      <x:c r="K226" s="24"/>
      <x:c r="L226" s="36" t="str">
        <x:f>IF(K226="","",K226*IF(M226="USD",N226,1))</x:f>
      </x:c>
      <x:c r="M226" s="22"/>
      <x:c r="N226" s="36" t="n">
        <x:f>IF(M226="USD",Settings!$B$7,1)</x:f>
        <x:v>1</x:v>
      </x:c>
      <x:c r="O226" s="22"/>
      <x:c r="P226" s="22"/>
      <x:c r="Q226" s="22"/>
      <x:c r="R226" s="22"/>
      <x:c r="S226" s="22"/>
      <x:c r="T226" s="22"/>
      <x:c r="U226" s="22"/>
      <x:c r="V226" s="22"/>
    </x:row>
    <x:row r="227">
      <x:c r="A227" s="22"/>
      <x:c r="B227" s="28"/>
      <x:c r="C227" s="22"/>
      <x:c r="D227" s="22"/>
      <x:c r="E227" s="22"/>
      <x:c r="F227" s="22"/>
      <x:c r="G227" s="22"/>
      <x:c r="H227" s="22"/>
      <x:c r="I227" s="22"/>
      <x:c r="J227" s="22"/>
      <x:c r="K227" s="24"/>
      <x:c r="L227" s="36" t="str">
        <x:f>IF(K227="","",K227*IF(M227="USD",N227,1))</x:f>
      </x:c>
      <x:c r="M227" s="22"/>
      <x:c r="N227" s="36" t="n">
        <x:f>IF(M227="USD",Settings!$B$7,1)</x:f>
        <x:v>1</x:v>
      </x:c>
      <x:c r="O227" s="22"/>
      <x:c r="P227" s="22"/>
      <x:c r="Q227" s="22"/>
      <x:c r="R227" s="22"/>
      <x:c r="S227" s="22"/>
      <x:c r="T227" s="22"/>
      <x:c r="U227" s="22"/>
      <x:c r="V227" s="22"/>
    </x:row>
    <x:row r="228">
      <x:c r="A228" s="22"/>
      <x:c r="B228" s="28"/>
      <x:c r="C228" s="22"/>
      <x:c r="D228" s="22"/>
      <x:c r="E228" s="22"/>
      <x:c r="F228" s="22"/>
      <x:c r="G228" s="22"/>
      <x:c r="H228" s="22"/>
      <x:c r="I228" s="22"/>
      <x:c r="J228" s="22"/>
      <x:c r="K228" s="24"/>
      <x:c r="L228" s="36" t="str">
        <x:f>IF(K228="","",K228*IF(M228="USD",N228,1))</x:f>
      </x:c>
      <x:c r="M228" s="22"/>
      <x:c r="N228" s="36" t="n">
        <x:f>IF(M228="USD",Settings!$B$7,1)</x:f>
        <x:v>1</x:v>
      </x:c>
      <x:c r="O228" s="22"/>
      <x:c r="P228" s="22"/>
      <x:c r="Q228" s="22"/>
      <x:c r="R228" s="22"/>
      <x:c r="S228" s="22"/>
      <x:c r="T228" s="22"/>
      <x:c r="U228" s="22"/>
      <x:c r="V228" s="22"/>
    </x:row>
    <x:row r="229">
      <x:c r="A229" s="22"/>
      <x:c r="B229" s="28"/>
      <x:c r="C229" s="22"/>
      <x:c r="D229" s="22"/>
      <x:c r="E229" s="22"/>
      <x:c r="F229" s="22"/>
      <x:c r="G229" s="22"/>
      <x:c r="H229" s="22"/>
      <x:c r="I229" s="22"/>
      <x:c r="J229" s="22"/>
      <x:c r="K229" s="24"/>
      <x:c r="L229" s="36" t="str">
        <x:f>IF(K229="","",K229*IF(M229="USD",N229,1))</x:f>
      </x:c>
      <x:c r="M229" s="22"/>
      <x:c r="N229" s="36" t="n">
        <x:f>IF(M229="USD",Settings!$B$7,1)</x:f>
        <x:v>1</x:v>
      </x:c>
      <x:c r="O229" s="22"/>
      <x:c r="P229" s="22"/>
      <x:c r="Q229" s="22"/>
      <x:c r="R229" s="22"/>
      <x:c r="S229" s="22"/>
      <x:c r="T229" s="22"/>
      <x:c r="U229" s="22"/>
      <x:c r="V229" s="22"/>
    </x:row>
    <x:row r="230">
      <x:c r="A230" s="22"/>
      <x:c r="B230" s="28"/>
      <x:c r="C230" s="22"/>
      <x:c r="D230" s="22"/>
      <x:c r="E230" s="22"/>
      <x:c r="F230" s="22"/>
      <x:c r="G230" s="22"/>
      <x:c r="H230" s="22"/>
      <x:c r="I230" s="22"/>
      <x:c r="J230" s="22"/>
      <x:c r="K230" s="24"/>
      <x:c r="L230" s="36" t="str">
        <x:f>IF(K230="","",K230*IF(M230="USD",N230,1))</x:f>
      </x:c>
      <x:c r="M230" s="22"/>
      <x:c r="N230" s="36" t="n">
        <x:f>IF(M230="USD",Settings!$B$7,1)</x:f>
        <x:v>1</x:v>
      </x:c>
      <x:c r="O230" s="22"/>
      <x:c r="P230" s="22"/>
      <x:c r="Q230" s="22"/>
      <x:c r="R230" s="22"/>
      <x:c r="S230" s="22"/>
      <x:c r="T230" s="22"/>
      <x:c r="U230" s="22"/>
      <x:c r="V230" s="22"/>
    </x:row>
    <x:row r="231">
      <x:c r="A231" s="22"/>
      <x:c r="B231" s="28"/>
      <x:c r="C231" s="22"/>
      <x:c r="D231" s="22"/>
      <x:c r="E231" s="22"/>
      <x:c r="F231" s="22"/>
      <x:c r="G231" s="22"/>
      <x:c r="H231" s="22"/>
      <x:c r="I231" s="22"/>
      <x:c r="J231" s="22"/>
      <x:c r="K231" s="24"/>
      <x:c r="L231" s="36" t="str">
        <x:f>IF(K231="","",K231*IF(M231="USD",N231,1))</x:f>
      </x:c>
      <x:c r="M231" s="22"/>
      <x:c r="N231" s="36" t="n">
        <x:f>IF(M231="USD",Settings!$B$7,1)</x:f>
        <x:v>1</x:v>
      </x:c>
      <x:c r="O231" s="22"/>
      <x:c r="P231" s="22"/>
      <x:c r="Q231" s="22"/>
      <x:c r="R231" s="22"/>
      <x:c r="S231" s="22"/>
      <x:c r="T231" s="22"/>
      <x:c r="U231" s="22"/>
      <x:c r="V231" s="22"/>
    </x:row>
    <x:row r="232">
      <x:c r="A232" s="22"/>
      <x:c r="B232" s="28"/>
      <x:c r="C232" s="22"/>
      <x:c r="D232" s="22"/>
      <x:c r="E232" s="22"/>
      <x:c r="F232" s="22"/>
      <x:c r="G232" s="22"/>
      <x:c r="H232" s="22"/>
      <x:c r="I232" s="22"/>
      <x:c r="J232" s="22"/>
      <x:c r="K232" s="24"/>
      <x:c r="L232" s="36" t="str">
        <x:f>IF(K232="","",K232*IF(M232="USD",N232,1))</x:f>
      </x:c>
      <x:c r="M232" s="22"/>
      <x:c r="N232" s="36" t="n">
        <x:f>IF(M232="USD",Settings!$B$7,1)</x:f>
        <x:v>1</x:v>
      </x:c>
      <x:c r="O232" s="22"/>
      <x:c r="P232" s="22"/>
      <x:c r="Q232" s="22"/>
      <x:c r="R232" s="22"/>
      <x:c r="S232" s="22"/>
      <x:c r="T232" s="22"/>
      <x:c r="U232" s="22"/>
      <x:c r="V232" s="22"/>
    </x:row>
    <x:row r="233">
      <x:c r="A233" s="22"/>
      <x:c r="B233" s="28"/>
      <x:c r="C233" s="22"/>
      <x:c r="D233" s="22"/>
      <x:c r="E233" s="22"/>
      <x:c r="F233" s="22"/>
      <x:c r="G233" s="22"/>
      <x:c r="H233" s="22"/>
      <x:c r="I233" s="22"/>
      <x:c r="J233" s="22"/>
      <x:c r="K233" s="24"/>
      <x:c r="L233" s="36" t="str">
        <x:f>IF(K233="","",K233*IF(M233="USD",N233,1))</x:f>
      </x:c>
      <x:c r="M233" s="22"/>
      <x:c r="N233" s="36" t="n">
        <x:f>IF(M233="USD",Settings!$B$7,1)</x:f>
        <x:v>1</x:v>
      </x:c>
      <x:c r="O233" s="22"/>
      <x:c r="P233" s="22"/>
      <x:c r="Q233" s="22"/>
      <x:c r="R233" s="22"/>
      <x:c r="S233" s="22"/>
      <x:c r="T233" s="22"/>
      <x:c r="U233" s="22"/>
      <x:c r="V233" s="22"/>
    </x:row>
    <x:row r="234">
      <x:c r="A234" s="22"/>
      <x:c r="B234" s="28"/>
      <x:c r="C234" s="22"/>
      <x:c r="D234" s="22"/>
      <x:c r="E234" s="22"/>
      <x:c r="F234" s="22"/>
      <x:c r="G234" s="22"/>
      <x:c r="H234" s="22"/>
      <x:c r="I234" s="22"/>
      <x:c r="J234" s="22"/>
      <x:c r="K234" s="24"/>
      <x:c r="L234" s="36" t="str">
        <x:f>IF(K234="","",K234*IF(M234="USD",N234,1))</x:f>
      </x:c>
      <x:c r="M234" s="22"/>
      <x:c r="N234" s="36" t="n">
        <x:f>IF(M234="USD",Settings!$B$7,1)</x:f>
        <x:v>1</x:v>
      </x:c>
      <x:c r="O234" s="22"/>
      <x:c r="P234" s="22"/>
      <x:c r="Q234" s="22"/>
      <x:c r="R234" s="22"/>
      <x:c r="S234" s="22"/>
      <x:c r="T234" s="22"/>
      <x:c r="U234" s="22"/>
      <x:c r="V234" s="22"/>
    </x:row>
    <x:row r="235">
      <x:c r="A235" s="22"/>
      <x:c r="B235" s="28"/>
      <x:c r="C235" s="22"/>
      <x:c r="D235" s="22"/>
      <x:c r="E235" s="22"/>
      <x:c r="F235" s="22"/>
      <x:c r="G235" s="22"/>
      <x:c r="H235" s="22"/>
      <x:c r="I235" s="22"/>
      <x:c r="J235" s="22"/>
      <x:c r="K235" s="24"/>
      <x:c r="L235" s="36" t="str">
        <x:f>IF(K235="","",K235*IF(M235="USD",N235,1))</x:f>
      </x:c>
      <x:c r="M235" s="22"/>
      <x:c r="N235" s="36" t="n">
        <x:f>IF(M235="USD",Settings!$B$7,1)</x:f>
        <x:v>1</x:v>
      </x:c>
      <x:c r="O235" s="22"/>
      <x:c r="P235" s="22"/>
      <x:c r="Q235" s="22"/>
      <x:c r="R235" s="22"/>
      <x:c r="S235" s="22"/>
      <x:c r="T235" s="22"/>
      <x:c r="U235" s="22"/>
      <x:c r="V235" s="22"/>
    </x:row>
    <x:row r="236">
      <x:c r="A236" s="22"/>
      <x:c r="B236" s="28"/>
      <x:c r="C236" s="22"/>
      <x:c r="D236" s="22"/>
      <x:c r="E236" s="22"/>
      <x:c r="F236" s="22"/>
      <x:c r="G236" s="22"/>
      <x:c r="H236" s="22"/>
      <x:c r="I236" s="22"/>
      <x:c r="J236" s="22"/>
      <x:c r="K236" s="24"/>
      <x:c r="L236" s="36" t="str">
        <x:f>IF(K236="","",K236*IF(M236="USD",N236,1))</x:f>
      </x:c>
      <x:c r="M236" s="22"/>
      <x:c r="N236" s="36" t="n">
        <x:f>IF(M236="USD",Settings!$B$7,1)</x:f>
        <x:v>1</x:v>
      </x:c>
      <x:c r="O236" s="22"/>
      <x:c r="P236" s="22"/>
      <x:c r="Q236" s="22"/>
      <x:c r="R236" s="22"/>
      <x:c r="S236" s="22"/>
      <x:c r="T236" s="22"/>
      <x:c r="U236" s="22"/>
      <x:c r="V236" s="22"/>
    </x:row>
    <x:row r="237">
      <x:c r="A237" s="22"/>
      <x:c r="B237" s="28"/>
      <x:c r="C237" s="22"/>
      <x:c r="D237" s="22"/>
      <x:c r="E237" s="22"/>
      <x:c r="F237" s="22"/>
      <x:c r="G237" s="22"/>
      <x:c r="H237" s="22"/>
      <x:c r="I237" s="22"/>
      <x:c r="J237" s="22"/>
      <x:c r="K237" s="24"/>
      <x:c r="L237" s="36" t="str">
        <x:f>IF(K237="","",K237*IF(M237="USD",N237,1))</x:f>
      </x:c>
      <x:c r="M237" s="22"/>
      <x:c r="N237" s="36" t="n">
        <x:f>IF(M237="USD",Settings!$B$7,1)</x:f>
        <x:v>1</x:v>
      </x:c>
      <x:c r="O237" s="22"/>
      <x:c r="P237" s="22"/>
      <x:c r="Q237" s="22"/>
      <x:c r="R237" s="22"/>
      <x:c r="S237" s="22"/>
      <x:c r="T237" s="22"/>
      <x:c r="U237" s="22"/>
      <x:c r="V237" s="22"/>
    </x:row>
    <x:row r="238">
      <x:c r="A238" s="22"/>
      <x:c r="B238" s="28"/>
      <x:c r="C238" s="22"/>
      <x:c r="D238" s="22"/>
      <x:c r="E238" s="22"/>
      <x:c r="F238" s="22"/>
      <x:c r="G238" s="22"/>
      <x:c r="H238" s="22"/>
      <x:c r="I238" s="22"/>
      <x:c r="J238" s="22"/>
      <x:c r="K238" s="24"/>
      <x:c r="L238" s="36" t="str">
        <x:f>IF(K238="","",K238*IF(M238="USD",N238,1))</x:f>
      </x:c>
      <x:c r="M238" s="22"/>
      <x:c r="N238" s="36" t="n">
        <x:f>IF(M238="USD",Settings!$B$7,1)</x:f>
        <x:v>1</x:v>
      </x:c>
      <x:c r="O238" s="22"/>
      <x:c r="P238" s="22"/>
      <x:c r="Q238" s="22"/>
      <x:c r="R238" s="22"/>
      <x:c r="S238" s="22"/>
      <x:c r="T238" s="22"/>
      <x:c r="U238" s="22"/>
      <x:c r="V238" s="22"/>
    </x:row>
    <x:row r="239">
      <x:c r="A239" s="22"/>
      <x:c r="B239" s="28"/>
      <x:c r="C239" s="22"/>
      <x:c r="D239" s="22"/>
      <x:c r="E239" s="22"/>
      <x:c r="F239" s="22"/>
      <x:c r="G239" s="22"/>
      <x:c r="H239" s="22"/>
      <x:c r="I239" s="22"/>
      <x:c r="J239" s="22"/>
      <x:c r="K239" s="24"/>
      <x:c r="L239" s="36" t="str">
        <x:f>IF(K239="","",K239*IF(M239="USD",N239,1))</x:f>
      </x:c>
      <x:c r="M239" s="22"/>
      <x:c r="N239" s="36" t="n">
        <x:f>IF(M239="USD",Settings!$B$7,1)</x:f>
        <x:v>1</x:v>
      </x:c>
      <x:c r="O239" s="22"/>
      <x:c r="P239" s="22"/>
      <x:c r="Q239" s="22"/>
      <x:c r="R239" s="22"/>
      <x:c r="S239" s="22"/>
      <x:c r="T239" s="22"/>
      <x:c r="U239" s="22"/>
      <x:c r="V239" s="22"/>
    </x:row>
    <x:row r="240">
      <x:c r="A240" s="22"/>
      <x:c r="B240" s="28"/>
      <x:c r="C240" s="22"/>
      <x:c r="D240" s="22"/>
      <x:c r="E240" s="22"/>
      <x:c r="F240" s="22"/>
      <x:c r="G240" s="22"/>
      <x:c r="H240" s="22"/>
      <x:c r="I240" s="22"/>
      <x:c r="J240" s="22"/>
      <x:c r="K240" s="24"/>
      <x:c r="L240" s="36" t="str">
        <x:f>IF(K240="","",K240*IF(M240="USD",N240,1))</x:f>
      </x:c>
      <x:c r="M240" s="22"/>
      <x:c r="N240" s="36" t="n">
        <x:f>IF(M240="USD",Settings!$B$7,1)</x:f>
        <x:v>1</x:v>
      </x:c>
      <x:c r="O240" s="22"/>
      <x:c r="P240" s="22"/>
      <x:c r="Q240" s="22"/>
      <x:c r="R240" s="22"/>
      <x:c r="S240" s="22"/>
      <x:c r="T240" s="22"/>
      <x:c r="U240" s="22"/>
      <x:c r="V240" s="22"/>
    </x:row>
    <x:row r="241">
      <x:c r="A241" s="22"/>
      <x:c r="B241" s="28"/>
      <x:c r="C241" s="22"/>
      <x:c r="D241" s="22"/>
      <x:c r="E241" s="22"/>
      <x:c r="F241" s="22"/>
      <x:c r="G241" s="22"/>
      <x:c r="H241" s="22"/>
      <x:c r="I241" s="22"/>
      <x:c r="J241" s="22"/>
      <x:c r="K241" s="24"/>
      <x:c r="L241" s="36" t="str">
        <x:f>IF(K241="","",K241*IF(M241="USD",N241,1))</x:f>
      </x:c>
      <x:c r="M241" s="22"/>
      <x:c r="N241" s="36" t="n">
        <x:f>IF(M241="USD",Settings!$B$7,1)</x:f>
        <x:v>1</x:v>
      </x:c>
      <x:c r="O241" s="22"/>
      <x:c r="P241" s="22"/>
      <x:c r="Q241" s="22"/>
      <x:c r="R241" s="22"/>
      <x:c r="S241" s="22"/>
      <x:c r="T241" s="22"/>
      <x:c r="U241" s="22"/>
      <x:c r="V241" s="22"/>
    </x:row>
    <x:row r="242">
      <x:c r="A242" s="22"/>
      <x:c r="B242" s="28"/>
      <x:c r="C242" s="22"/>
      <x:c r="D242" s="22"/>
      <x:c r="E242" s="22"/>
      <x:c r="F242" s="22"/>
      <x:c r="G242" s="22"/>
      <x:c r="H242" s="22"/>
      <x:c r="I242" s="22"/>
      <x:c r="J242" s="22"/>
      <x:c r="K242" s="24"/>
      <x:c r="L242" s="36" t="str">
        <x:f>IF(K242="","",K242*IF(M242="USD",N242,1))</x:f>
      </x:c>
      <x:c r="M242" s="22"/>
      <x:c r="N242" s="36" t="n">
        <x:f>IF(M242="USD",Settings!$B$7,1)</x:f>
        <x:v>1</x:v>
      </x:c>
      <x:c r="O242" s="22"/>
      <x:c r="P242" s="22"/>
      <x:c r="Q242" s="22"/>
      <x:c r="R242" s="22"/>
      <x:c r="S242" s="22"/>
      <x:c r="T242" s="22"/>
      <x:c r="U242" s="22"/>
      <x:c r="V242" s="22"/>
    </x:row>
    <x:row r="243">
      <x:c r="A243" s="22"/>
      <x:c r="B243" s="28"/>
      <x:c r="C243" s="22"/>
      <x:c r="D243" s="22"/>
      <x:c r="E243" s="22"/>
      <x:c r="F243" s="22"/>
      <x:c r="G243" s="22"/>
      <x:c r="H243" s="22"/>
      <x:c r="I243" s="22"/>
      <x:c r="J243" s="22"/>
      <x:c r="K243" s="24"/>
      <x:c r="L243" s="36" t="str">
        <x:f>IF(K243="","",K243*IF(M243="USD",N243,1))</x:f>
      </x:c>
      <x:c r="M243" s="22"/>
      <x:c r="N243" s="36" t="n">
        <x:f>IF(M243="USD",Settings!$B$7,1)</x:f>
        <x:v>1</x:v>
      </x:c>
      <x:c r="O243" s="22"/>
      <x:c r="P243" s="22"/>
      <x:c r="Q243" s="22"/>
      <x:c r="R243" s="22"/>
      <x:c r="S243" s="22"/>
      <x:c r="T243" s="22"/>
      <x:c r="U243" s="22"/>
      <x:c r="V243" s="22"/>
    </x:row>
    <x:row r="244">
      <x:c r="A244" s="22"/>
      <x:c r="B244" s="28"/>
      <x:c r="C244" s="22"/>
      <x:c r="D244" s="22"/>
      <x:c r="E244" s="22"/>
      <x:c r="F244" s="22"/>
      <x:c r="G244" s="22"/>
      <x:c r="H244" s="22"/>
      <x:c r="I244" s="22"/>
      <x:c r="J244" s="22"/>
      <x:c r="K244" s="24"/>
      <x:c r="L244" s="36" t="str">
        <x:f>IF(K244="","",K244*IF(M244="USD",N244,1))</x:f>
      </x:c>
      <x:c r="M244" s="22"/>
      <x:c r="N244" s="36" t="n">
        <x:f>IF(M244="USD",Settings!$B$7,1)</x:f>
        <x:v>1</x:v>
      </x:c>
      <x:c r="O244" s="22"/>
      <x:c r="P244" s="22"/>
      <x:c r="Q244" s="22"/>
      <x:c r="R244" s="22"/>
      <x:c r="S244" s="22"/>
      <x:c r="T244" s="22"/>
      <x:c r="U244" s="22"/>
      <x:c r="V244" s="22"/>
    </x:row>
    <x:row r="245">
      <x:c r="A245" s="22"/>
      <x:c r="B245" s="28"/>
      <x:c r="C245" s="22"/>
      <x:c r="D245" s="22"/>
      <x:c r="E245" s="22"/>
      <x:c r="F245" s="22"/>
      <x:c r="G245" s="22"/>
      <x:c r="H245" s="22"/>
      <x:c r="I245" s="22"/>
      <x:c r="J245" s="22"/>
      <x:c r="K245" s="24"/>
      <x:c r="L245" s="36" t="str">
        <x:f>IF(K245="","",K245*IF(M245="USD",N245,1))</x:f>
      </x:c>
      <x:c r="M245" s="22"/>
      <x:c r="N245" s="36" t="n">
        <x:f>IF(M245="USD",Settings!$B$7,1)</x:f>
        <x:v>1</x:v>
      </x:c>
      <x:c r="O245" s="22"/>
      <x:c r="P245" s="22"/>
      <x:c r="Q245" s="22"/>
      <x:c r="R245" s="22"/>
      <x:c r="S245" s="22"/>
      <x:c r="T245" s="22"/>
      <x:c r="U245" s="22"/>
      <x:c r="V245" s="22"/>
    </x:row>
    <x:row r="246">
      <x:c r="A246" s="22"/>
      <x:c r="B246" s="28"/>
      <x:c r="C246" s="22"/>
      <x:c r="D246" s="22"/>
      <x:c r="E246" s="22"/>
      <x:c r="F246" s="22"/>
      <x:c r="G246" s="22"/>
      <x:c r="H246" s="22"/>
      <x:c r="I246" s="22"/>
      <x:c r="J246" s="22"/>
      <x:c r="K246" s="24"/>
      <x:c r="L246" s="36" t="str">
        <x:f>IF(K246="","",K246*IF(M246="USD",N246,1))</x:f>
      </x:c>
      <x:c r="M246" s="22"/>
      <x:c r="N246" s="36" t="n">
        <x:f>IF(M246="USD",Settings!$B$7,1)</x:f>
        <x:v>1</x:v>
      </x:c>
      <x:c r="O246" s="22"/>
      <x:c r="P246" s="22"/>
      <x:c r="Q246" s="22"/>
      <x:c r="R246" s="22"/>
      <x:c r="S246" s="22"/>
      <x:c r="T246" s="22"/>
      <x:c r="U246" s="22"/>
      <x:c r="V246" s="22"/>
    </x:row>
    <x:row r="247">
      <x:c r="A247" s="22"/>
      <x:c r="B247" s="28"/>
      <x:c r="C247" s="22"/>
      <x:c r="D247" s="22"/>
      <x:c r="E247" s="22"/>
      <x:c r="F247" s="22"/>
      <x:c r="G247" s="22"/>
      <x:c r="H247" s="22"/>
      <x:c r="I247" s="22"/>
      <x:c r="J247" s="22"/>
      <x:c r="K247" s="24"/>
      <x:c r="L247" s="36" t="str">
        <x:f>IF(K247="","",K247*IF(M247="USD",N247,1))</x:f>
      </x:c>
      <x:c r="M247" s="22"/>
      <x:c r="N247" s="36" t="n">
        <x:f>IF(M247="USD",Settings!$B$7,1)</x:f>
        <x:v>1</x:v>
      </x:c>
      <x:c r="O247" s="22"/>
      <x:c r="P247" s="22"/>
      <x:c r="Q247" s="22"/>
      <x:c r="R247" s="22"/>
      <x:c r="S247" s="22"/>
      <x:c r="T247" s="22"/>
      <x:c r="U247" s="22"/>
      <x:c r="V247" s="22"/>
    </x:row>
    <x:row r="248">
      <x:c r="A248" s="22"/>
      <x:c r="B248" s="28"/>
      <x:c r="C248" s="22"/>
      <x:c r="D248" s="22"/>
      <x:c r="E248" s="22"/>
      <x:c r="F248" s="22"/>
      <x:c r="G248" s="22"/>
      <x:c r="H248" s="22"/>
      <x:c r="I248" s="22"/>
      <x:c r="J248" s="22"/>
      <x:c r="K248" s="24"/>
      <x:c r="L248" s="36" t="str">
        <x:f>IF(K248="","",K248*IF(M248="USD",N248,1))</x:f>
      </x:c>
      <x:c r="M248" s="22"/>
      <x:c r="N248" s="36" t="n">
        <x:f>IF(M248="USD",Settings!$B$7,1)</x:f>
        <x:v>1</x:v>
      </x:c>
      <x:c r="O248" s="22"/>
      <x:c r="P248" s="22"/>
      <x:c r="Q248" s="22"/>
      <x:c r="R248" s="22"/>
      <x:c r="S248" s="22"/>
      <x:c r="T248" s="22"/>
      <x:c r="U248" s="22"/>
      <x:c r="V248" s="22"/>
    </x:row>
    <x:row r="249">
      <x:c r="A249" s="22"/>
      <x:c r="B249" s="28"/>
      <x:c r="C249" s="22"/>
      <x:c r="D249" s="22"/>
      <x:c r="E249" s="22"/>
      <x:c r="F249" s="22"/>
      <x:c r="G249" s="22"/>
      <x:c r="H249" s="22"/>
      <x:c r="I249" s="22"/>
      <x:c r="J249" s="22"/>
      <x:c r="K249" s="24"/>
      <x:c r="L249" s="36" t="str">
        <x:f>IF(K249="","",K249*IF(M249="USD",N249,1))</x:f>
      </x:c>
      <x:c r="M249" s="22"/>
      <x:c r="N249" s="36" t="n">
        <x:f>IF(M249="USD",Settings!$B$7,1)</x:f>
        <x:v>1</x:v>
      </x:c>
      <x:c r="O249" s="22"/>
      <x:c r="P249" s="22"/>
      <x:c r="Q249" s="22"/>
      <x:c r="R249" s="22"/>
      <x:c r="S249" s="22"/>
      <x:c r="T249" s="22"/>
      <x:c r="U249" s="22"/>
      <x:c r="V249" s="22"/>
    </x:row>
    <x:row r="250">
      <x:c r="A250" s="22"/>
      <x:c r="B250" s="28"/>
      <x:c r="C250" s="22"/>
      <x:c r="D250" s="22"/>
      <x:c r="E250" s="22"/>
      <x:c r="F250" s="22"/>
      <x:c r="G250" s="22"/>
      <x:c r="H250" s="22"/>
      <x:c r="I250" s="22"/>
      <x:c r="J250" s="22"/>
      <x:c r="K250" s="24"/>
      <x:c r="L250" s="36" t="str">
        <x:f>IF(K250="","",K250*IF(M250="USD",N250,1))</x:f>
      </x:c>
      <x:c r="M250" s="22"/>
      <x:c r="N250" s="36" t="n">
        <x:f>IF(M250="USD",Settings!$B$7,1)</x:f>
        <x:v>1</x:v>
      </x:c>
      <x:c r="O250" s="22"/>
      <x:c r="P250" s="22"/>
      <x:c r="Q250" s="22"/>
      <x:c r="R250" s="22"/>
      <x:c r="S250" s="22"/>
      <x:c r="T250" s="22"/>
      <x:c r="U250" s="22"/>
      <x:c r="V250" s="22"/>
    </x:row>
    <x:row r="251">
      <x:c r="A251" s="22"/>
      <x:c r="B251" s="28"/>
      <x:c r="C251" s="22"/>
      <x:c r="D251" s="22"/>
      <x:c r="E251" s="22"/>
      <x:c r="F251" s="22"/>
      <x:c r="G251" s="22"/>
      <x:c r="H251" s="22"/>
      <x:c r="I251" s="22"/>
      <x:c r="J251" s="22"/>
      <x:c r="K251" s="24"/>
      <x:c r="L251" s="36" t="str">
        <x:f>IF(K251="","",K251*IF(M251="USD",N251,1))</x:f>
      </x:c>
      <x:c r="M251" s="22"/>
      <x:c r="N251" s="36" t="n">
        <x:f>IF(M251="USD",Settings!$B$7,1)</x:f>
        <x:v>1</x:v>
      </x:c>
      <x:c r="O251" s="22"/>
      <x:c r="P251" s="22"/>
      <x:c r="Q251" s="22"/>
      <x:c r="R251" s="22"/>
      <x:c r="S251" s="22"/>
      <x:c r="T251" s="22"/>
      <x:c r="U251" s="22"/>
      <x:c r="V251" s="22"/>
    </x:row>
    <x:row r="252">
      <x:c r="A252" s="22"/>
      <x:c r="B252" s="28"/>
      <x:c r="C252" s="22"/>
      <x:c r="D252" s="22"/>
      <x:c r="E252" s="22"/>
      <x:c r="F252" s="22"/>
      <x:c r="G252" s="22"/>
      <x:c r="H252" s="22"/>
      <x:c r="I252" s="22"/>
      <x:c r="J252" s="22"/>
      <x:c r="K252" s="24"/>
      <x:c r="L252" s="36" t="str">
        <x:f>IF(K252="","",K252*IF(M252="USD",N252,1))</x:f>
      </x:c>
      <x:c r="M252" s="22"/>
      <x:c r="N252" s="36" t="n">
        <x:f>IF(M252="USD",Settings!$B$7,1)</x:f>
        <x:v>1</x:v>
      </x:c>
      <x:c r="O252" s="22"/>
      <x:c r="P252" s="22"/>
      <x:c r="Q252" s="22"/>
      <x:c r="R252" s="22"/>
      <x:c r="S252" s="22"/>
      <x:c r="T252" s="22"/>
      <x:c r="U252" s="22"/>
      <x:c r="V252" s="22"/>
    </x:row>
    <x:row r="253">
      <x:c r="A253" s="22"/>
      <x:c r="B253" s="28"/>
      <x:c r="C253" s="22"/>
      <x:c r="D253" s="22"/>
      <x:c r="E253" s="22"/>
      <x:c r="F253" s="22"/>
      <x:c r="G253" s="22"/>
      <x:c r="H253" s="22"/>
      <x:c r="I253" s="22"/>
      <x:c r="J253" s="22"/>
      <x:c r="K253" s="24"/>
      <x:c r="L253" s="36" t="str">
        <x:f>IF(K253="","",K253*IF(M253="USD",N253,1))</x:f>
      </x:c>
      <x:c r="M253" s="22"/>
      <x:c r="N253" s="36" t="n">
        <x:f>IF(M253="USD",Settings!$B$7,1)</x:f>
        <x:v>1</x:v>
      </x:c>
      <x:c r="O253" s="22"/>
      <x:c r="P253" s="22"/>
      <x:c r="Q253" s="22"/>
      <x:c r="R253" s="22"/>
      <x:c r="S253" s="22"/>
      <x:c r="T253" s="22"/>
      <x:c r="U253" s="22"/>
      <x:c r="V253" s="22"/>
    </x:row>
    <x:row r="254">
      <x:c r="A254" s="22"/>
      <x:c r="B254" s="28"/>
      <x:c r="C254" s="22"/>
      <x:c r="D254" s="22"/>
      <x:c r="E254" s="22"/>
      <x:c r="F254" s="22"/>
      <x:c r="G254" s="22"/>
      <x:c r="H254" s="22"/>
      <x:c r="I254" s="22"/>
      <x:c r="J254" s="22"/>
      <x:c r="K254" s="24"/>
      <x:c r="L254" s="36" t="str">
        <x:f>IF(K254="","",K254*IF(M254="USD",N254,1))</x:f>
      </x:c>
      <x:c r="M254" s="22"/>
      <x:c r="N254" s="36" t="n">
        <x:f>IF(M254="USD",Settings!$B$7,1)</x:f>
        <x:v>1</x:v>
      </x:c>
      <x:c r="O254" s="22"/>
      <x:c r="P254" s="22"/>
      <x:c r="Q254" s="22"/>
      <x:c r="R254" s="22"/>
      <x:c r="S254" s="22"/>
      <x:c r="T254" s="22"/>
      <x:c r="U254" s="22"/>
      <x:c r="V254" s="22"/>
    </x:row>
    <x:row r="255">
      <x:c r="A255" s="22"/>
      <x:c r="B255" s="28"/>
      <x:c r="C255" s="22"/>
      <x:c r="D255" s="22"/>
      <x:c r="E255" s="22"/>
      <x:c r="F255" s="22"/>
      <x:c r="G255" s="22"/>
      <x:c r="H255" s="22"/>
      <x:c r="I255" s="22"/>
      <x:c r="J255" s="22"/>
      <x:c r="K255" s="24"/>
      <x:c r="L255" s="36" t="str">
        <x:f>IF(K255="","",K255*IF(M255="USD",N255,1))</x:f>
      </x:c>
      <x:c r="M255" s="22"/>
      <x:c r="N255" s="36" t="n">
        <x:f>IF(M255="USD",Settings!$B$7,1)</x:f>
        <x:v>1</x:v>
      </x:c>
      <x:c r="O255" s="22"/>
      <x:c r="P255" s="22"/>
      <x:c r="Q255" s="22"/>
      <x:c r="R255" s="22"/>
      <x:c r="S255" s="22"/>
      <x:c r="T255" s="22"/>
      <x:c r="U255" s="22"/>
      <x:c r="V255" s="22"/>
    </x:row>
    <x:row r="256">
      <x:c r="A256" s="22"/>
      <x:c r="B256" s="28"/>
      <x:c r="C256" s="22"/>
      <x:c r="D256" s="22"/>
      <x:c r="E256" s="22"/>
      <x:c r="F256" s="22"/>
      <x:c r="G256" s="22"/>
      <x:c r="H256" s="22"/>
      <x:c r="I256" s="22"/>
      <x:c r="J256" s="22"/>
      <x:c r="K256" s="24"/>
      <x:c r="L256" s="36" t="str">
        <x:f>IF(K256="","",K256*IF(M256="USD",N256,1))</x:f>
      </x:c>
      <x:c r="M256" s="22"/>
      <x:c r="N256" s="36" t="n">
        <x:f>IF(M256="USD",Settings!$B$7,1)</x:f>
        <x:v>1</x:v>
      </x:c>
      <x:c r="O256" s="22"/>
      <x:c r="P256" s="22"/>
      <x:c r="Q256" s="22"/>
      <x:c r="R256" s="22"/>
      <x:c r="S256" s="22"/>
      <x:c r="T256" s="22"/>
      <x:c r="U256" s="22"/>
      <x:c r="V256" s="22"/>
    </x:row>
    <x:row r="257">
      <x:c r="A257" s="22"/>
      <x:c r="B257" s="28"/>
      <x:c r="C257" s="22"/>
      <x:c r="D257" s="22"/>
      <x:c r="E257" s="22"/>
      <x:c r="F257" s="22"/>
      <x:c r="G257" s="22"/>
      <x:c r="H257" s="22"/>
      <x:c r="I257" s="22"/>
      <x:c r="J257" s="22"/>
      <x:c r="K257" s="24"/>
      <x:c r="L257" s="36" t="str">
        <x:f>IF(K257="","",K257*IF(M257="USD",N257,1))</x:f>
      </x:c>
      <x:c r="M257" s="22"/>
      <x:c r="N257" s="36" t="n">
        <x:f>IF(M257="USD",Settings!$B$7,1)</x:f>
        <x:v>1</x:v>
      </x:c>
      <x:c r="O257" s="22"/>
      <x:c r="P257" s="22"/>
      <x:c r="Q257" s="22"/>
      <x:c r="R257" s="22"/>
      <x:c r="S257" s="22"/>
      <x:c r="T257" s="22"/>
      <x:c r="U257" s="22"/>
      <x:c r="V257" s="22"/>
    </x:row>
    <x:row r="258">
      <x:c r="A258" s="22"/>
      <x:c r="B258" s="28"/>
      <x:c r="C258" s="22"/>
      <x:c r="D258" s="22"/>
      <x:c r="E258" s="22"/>
      <x:c r="F258" s="22"/>
      <x:c r="G258" s="22"/>
      <x:c r="H258" s="22"/>
      <x:c r="I258" s="22"/>
      <x:c r="J258" s="22"/>
      <x:c r="K258" s="24"/>
      <x:c r="L258" s="36" t="str">
        <x:f>IF(K258="","",K258*IF(M258="USD",N258,1))</x:f>
      </x:c>
      <x:c r="M258" s="22"/>
      <x:c r="N258" s="36" t="n">
        <x:f>IF(M258="USD",Settings!$B$7,1)</x:f>
        <x:v>1</x:v>
      </x:c>
      <x:c r="O258" s="22"/>
      <x:c r="P258" s="22"/>
      <x:c r="Q258" s="22"/>
      <x:c r="R258" s="22"/>
      <x:c r="S258" s="22"/>
      <x:c r="T258" s="22"/>
      <x:c r="U258" s="22"/>
      <x:c r="V258" s="22"/>
    </x:row>
    <x:row r="259">
      <x:c r="A259" s="22"/>
      <x:c r="B259" s="28"/>
      <x:c r="C259" s="22"/>
      <x:c r="D259" s="22"/>
      <x:c r="E259" s="22"/>
      <x:c r="F259" s="22"/>
      <x:c r="G259" s="22"/>
      <x:c r="H259" s="22"/>
      <x:c r="I259" s="22"/>
      <x:c r="J259" s="22"/>
      <x:c r="K259" s="24"/>
      <x:c r="L259" s="36" t="str">
        <x:f>IF(K259="","",K259*IF(M259="USD",N259,1))</x:f>
      </x:c>
      <x:c r="M259" s="22"/>
      <x:c r="N259" s="36" t="n">
        <x:f>IF(M259="USD",Settings!$B$7,1)</x:f>
        <x:v>1</x:v>
      </x:c>
      <x:c r="O259" s="22"/>
      <x:c r="P259" s="22"/>
      <x:c r="Q259" s="22"/>
      <x:c r="R259" s="22"/>
      <x:c r="S259" s="22"/>
      <x:c r="T259" s="22"/>
      <x:c r="U259" s="22"/>
      <x:c r="V259" s="22"/>
    </x:row>
    <x:row r="260">
      <x:c r="A260" s="22"/>
      <x:c r="B260" s="28"/>
      <x:c r="C260" s="22"/>
      <x:c r="D260" s="22"/>
      <x:c r="E260" s="22"/>
      <x:c r="F260" s="22"/>
      <x:c r="G260" s="22"/>
      <x:c r="H260" s="22"/>
      <x:c r="I260" s="22"/>
      <x:c r="J260" s="22"/>
      <x:c r="K260" s="24"/>
      <x:c r="L260" s="36" t="str">
        <x:f>IF(K260="","",K260*IF(M260="USD",N260,1))</x:f>
      </x:c>
      <x:c r="M260" s="22"/>
      <x:c r="N260" s="36" t="n">
        <x:f>IF(M260="USD",Settings!$B$7,1)</x:f>
        <x:v>1</x:v>
      </x:c>
      <x:c r="O260" s="22"/>
      <x:c r="P260" s="22"/>
      <x:c r="Q260" s="22"/>
      <x:c r="R260" s="22"/>
      <x:c r="S260" s="22"/>
      <x:c r="T260" s="22"/>
      <x:c r="U260" s="22"/>
      <x:c r="V260" s="22"/>
    </x:row>
    <x:row r="261">
      <x:c r="A261" s="22"/>
      <x:c r="B261" s="28"/>
      <x:c r="C261" s="22"/>
      <x:c r="D261" s="22"/>
      <x:c r="E261" s="22"/>
      <x:c r="F261" s="22"/>
      <x:c r="G261" s="22"/>
      <x:c r="H261" s="22"/>
      <x:c r="I261" s="22"/>
      <x:c r="J261" s="22"/>
      <x:c r="K261" s="24"/>
      <x:c r="L261" s="36" t="str">
        <x:f>IF(K261="","",K261*IF(M261="USD",N261,1))</x:f>
      </x:c>
      <x:c r="M261" s="22"/>
      <x:c r="N261" s="36" t="n">
        <x:f>IF(M261="USD",Settings!$B$7,1)</x:f>
        <x:v>1</x:v>
      </x:c>
      <x:c r="O261" s="22"/>
      <x:c r="P261" s="22"/>
      <x:c r="Q261" s="22"/>
      <x:c r="R261" s="22"/>
      <x:c r="S261" s="22"/>
      <x:c r="T261" s="22"/>
      <x:c r="U261" s="22"/>
      <x:c r="V261" s="22"/>
    </x:row>
    <x:row r="262">
      <x:c r="A262" s="22"/>
      <x:c r="B262" s="28"/>
      <x:c r="C262" s="22"/>
      <x:c r="D262" s="22"/>
      <x:c r="E262" s="22"/>
      <x:c r="F262" s="22"/>
      <x:c r="G262" s="22"/>
      <x:c r="H262" s="22"/>
      <x:c r="I262" s="22"/>
      <x:c r="J262" s="22"/>
      <x:c r="K262" s="24"/>
      <x:c r="L262" s="36" t="str">
        <x:f>IF(K262="","",K262*IF(M262="USD",N262,1))</x:f>
      </x:c>
      <x:c r="M262" s="22"/>
      <x:c r="N262" s="36" t="n">
        <x:f>IF(M262="USD",Settings!$B$7,1)</x:f>
        <x:v>1</x:v>
      </x:c>
      <x:c r="O262" s="22"/>
      <x:c r="P262" s="22"/>
      <x:c r="Q262" s="22"/>
      <x:c r="R262" s="22"/>
      <x:c r="S262" s="22"/>
      <x:c r="T262" s="22"/>
      <x:c r="U262" s="22"/>
      <x:c r="V262" s="22"/>
    </x:row>
    <x:row r="263">
      <x:c r="A263" s="22"/>
      <x:c r="B263" s="28"/>
      <x:c r="C263" s="22"/>
      <x:c r="D263" s="22"/>
      <x:c r="E263" s="22"/>
      <x:c r="F263" s="22"/>
      <x:c r="G263" s="22"/>
      <x:c r="H263" s="22"/>
      <x:c r="I263" s="22"/>
      <x:c r="J263" s="22"/>
      <x:c r="K263" s="24"/>
      <x:c r="L263" s="36" t="str">
        <x:f>IF(K263="","",K263*IF(M263="USD",N263,1))</x:f>
      </x:c>
      <x:c r="M263" s="22"/>
      <x:c r="N263" s="36" t="n">
        <x:f>IF(M263="USD",Settings!$B$7,1)</x:f>
        <x:v>1</x:v>
      </x:c>
      <x:c r="O263" s="22"/>
      <x:c r="P263" s="22"/>
      <x:c r="Q263" s="22"/>
      <x:c r="R263" s="22"/>
      <x:c r="S263" s="22"/>
      <x:c r="T263" s="22"/>
      <x:c r="U263" s="22"/>
      <x:c r="V263" s="22"/>
    </x:row>
    <x:row r="264">
      <x:c r="A264" s="22"/>
      <x:c r="B264" s="28"/>
      <x:c r="C264" s="22"/>
      <x:c r="D264" s="22"/>
      <x:c r="E264" s="22"/>
      <x:c r="F264" s="22"/>
      <x:c r="G264" s="22"/>
      <x:c r="H264" s="22"/>
      <x:c r="I264" s="22"/>
      <x:c r="J264" s="22"/>
      <x:c r="K264" s="24"/>
      <x:c r="L264" s="36" t="str">
        <x:f>IF(K264="","",K264*IF(M264="USD",N264,1))</x:f>
      </x:c>
      <x:c r="M264" s="22"/>
      <x:c r="N264" s="36" t="n">
        <x:f>IF(M264="USD",Settings!$B$7,1)</x:f>
        <x:v>1</x:v>
      </x:c>
      <x:c r="O264" s="22"/>
      <x:c r="P264" s="22"/>
      <x:c r="Q264" s="22"/>
      <x:c r="R264" s="22"/>
      <x:c r="S264" s="22"/>
      <x:c r="T264" s="22"/>
      <x:c r="U264" s="22"/>
      <x:c r="V264" s="22"/>
    </x:row>
    <x:row r="265">
      <x:c r="A265" s="22"/>
      <x:c r="B265" s="28"/>
      <x:c r="C265" s="22"/>
      <x:c r="D265" s="22"/>
      <x:c r="E265" s="22"/>
      <x:c r="F265" s="22"/>
      <x:c r="G265" s="22"/>
      <x:c r="H265" s="22"/>
      <x:c r="I265" s="22"/>
      <x:c r="J265" s="22"/>
      <x:c r="K265" s="24"/>
      <x:c r="L265" s="36" t="str">
        <x:f>IF(K265="","",K265*IF(M265="USD",N265,1))</x:f>
      </x:c>
      <x:c r="M265" s="22"/>
      <x:c r="N265" s="36" t="n">
        <x:f>IF(M265="USD",Settings!$B$7,1)</x:f>
        <x:v>1</x:v>
      </x:c>
      <x:c r="O265" s="22"/>
      <x:c r="P265" s="22"/>
      <x:c r="Q265" s="22"/>
      <x:c r="R265" s="22"/>
      <x:c r="S265" s="22"/>
      <x:c r="T265" s="22"/>
      <x:c r="U265" s="22"/>
      <x:c r="V265" s="22"/>
    </x:row>
    <x:row r="266">
      <x:c r="A266" s="22"/>
      <x:c r="B266" s="28"/>
      <x:c r="C266" s="22"/>
      <x:c r="D266" s="22"/>
      <x:c r="E266" s="22"/>
      <x:c r="F266" s="22"/>
      <x:c r="G266" s="22"/>
      <x:c r="H266" s="22"/>
      <x:c r="I266" s="22"/>
      <x:c r="J266" s="22"/>
      <x:c r="K266" s="24"/>
      <x:c r="L266" s="36" t="str">
        <x:f>IF(K266="","",K266*IF(M266="USD",N266,1))</x:f>
      </x:c>
      <x:c r="M266" s="22"/>
      <x:c r="N266" s="36" t="n">
        <x:f>IF(M266="USD",Settings!$B$7,1)</x:f>
        <x:v>1</x:v>
      </x:c>
      <x:c r="O266" s="22"/>
      <x:c r="P266" s="22"/>
      <x:c r="Q266" s="22"/>
      <x:c r="R266" s="22"/>
      <x:c r="S266" s="22"/>
      <x:c r="T266" s="22"/>
      <x:c r="U266" s="22"/>
      <x:c r="V266" s="22"/>
    </x:row>
    <x:row r="267">
      <x:c r="A267" s="22"/>
      <x:c r="B267" s="28"/>
      <x:c r="C267" s="22"/>
      <x:c r="D267" s="22"/>
      <x:c r="E267" s="22"/>
      <x:c r="F267" s="22"/>
      <x:c r="G267" s="22"/>
      <x:c r="H267" s="22"/>
      <x:c r="I267" s="22"/>
      <x:c r="J267" s="22"/>
      <x:c r="K267" s="24"/>
      <x:c r="L267" s="36" t="str">
        <x:f>IF(K267="","",K267*IF(M267="USD",N267,1))</x:f>
      </x:c>
      <x:c r="M267" s="22"/>
      <x:c r="N267" s="36" t="n">
        <x:f>IF(M267="USD",Settings!$B$7,1)</x:f>
        <x:v>1</x:v>
      </x:c>
      <x:c r="O267" s="22"/>
      <x:c r="P267" s="22"/>
      <x:c r="Q267" s="22"/>
      <x:c r="R267" s="22"/>
      <x:c r="S267" s="22"/>
      <x:c r="T267" s="22"/>
      <x:c r="U267" s="22"/>
      <x:c r="V267" s="22"/>
    </x:row>
    <x:row r="268">
      <x:c r="A268" s="22"/>
      <x:c r="B268" s="28"/>
      <x:c r="C268" s="22"/>
      <x:c r="D268" s="22"/>
      <x:c r="E268" s="22"/>
      <x:c r="F268" s="22"/>
      <x:c r="G268" s="22"/>
      <x:c r="H268" s="22"/>
      <x:c r="I268" s="22"/>
      <x:c r="J268" s="22"/>
      <x:c r="K268" s="24"/>
      <x:c r="L268" s="36" t="str">
        <x:f>IF(K268="","",K268*IF(M268="USD",N268,1))</x:f>
      </x:c>
      <x:c r="M268" s="22"/>
      <x:c r="N268" s="36" t="n">
        <x:f>IF(M268="USD",Settings!$B$7,1)</x:f>
        <x:v>1</x:v>
      </x:c>
      <x:c r="O268" s="22"/>
      <x:c r="P268" s="22"/>
      <x:c r="Q268" s="22"/>
      <x:c r="R268" s="22"/>
      <x:c r="S268" s="22"/>
      <x:c r="T268" s="22"/>
      <x:c r="U268" s="22"/>
      <x:c r="V268" s="22"/>
    </x:row>
    <x:row r="269">
      <x:c r="A269" s="22"/>
      <x:c r="B269" s="28"/>
      <x:c r="C269" s="22"/>
      <x:c r="D269" s="22"/>
      <x:c r="E269" s="22"/>
      <x:c r="F269" s="22"/>
      <x:c r="G269" s="22"/>
      <x:c r="H269" s="22"/>
      <x:c r="I269" s="22"/>
      <x:c r="J269" s="22"/>
      <x:c r="K269" s="24"/>
      <x:c r="L269" s="36" t="str">
        <x:f>IF(K269="","",K269*IF(M269="USD",N269,1))</x:f>
      </x:c>
      <x:c r="M269" s="22"/>
      <x:c r="N269" s="36" t="n">
        <x:f>IF(M269="USD",Settings!$B$7,1)</x:f>
        <x:v>1</x:v>
      </x:c>
      <x:c r="O269" s="22"/>
      <x:c r="P269" s="22"/>
      <x:c r="Q269" s="22"/>
      <x:c r="R269" s="22"/>
      <x:c r="S269" s="22"/>
      <x:c r="T269" s="22"/>
      <x:c r="U269" s="22"/>
      <x:c r="V269" s="22"/>
    </x:row>
    <x:row r="270">
      <x:c r="A270" s="22"/>
      <x:c r="B270" s="28"/>
      <x:c r="C270" s="22"/>
      <x:c r="D270" s="22"/>
      <x:c r="E270" s="22"/>
      <x:c r="F270" s="22"/>
      <x:c r="G270" s="22"/>
      <x:c r="H270" s="22"/>
      <x:c r="I270" s="22"/>
      <x:c r="J270" s="22"/>
      <x:c r="K270" s="24"/>
      <x:c r="L270" s="36" t="str">
        <x:f>IF(K270="","",K270*IF(M270="USD",N270,1))</x:f>
      </x:c>
      <x:c r="M270" s="22"/>
      <x:c r="N270" s="36" t="n">
        <x:f>IF(M270="USD",Settings!$B$7,1)</x:f>
        <x:v>1</x:v>
      </x:c>
      <x:c r="O270" s="22"/>
      <x:c r="P270" s="22"/>
      <x:c r="Q270" s="22"/>
      <x:c r="R270" s="22"/>
      <x:c r="S270" s="22"/>
      <x:c r="T270" s="22"/>
      <x:c r="U270" s="22"/>
      <x:c r="V270" s="22"/>
    </x:row>
    <x:row r="271">
      <x:c r="A271" s="22"/>
      <x:c r="B271" s="28"/>
      <x:c r="C271" s="22"/>
      <x:c r="D271" s="22"/>
      <x:c r="E271" s="22"/>
      <x:c r="F271" s="22"/>
      <x:c r="G271" s="22"/>
      <x:c r="H271" s="22"/>
      <x:c r="I271" s="22"/>
      <x:c r="J271" s="22"/>
      <x:c r="K271" s="24"/>
      <x:c r="L271" s="36" t="str">
        <x:f>IF(K271="","",K271*IF(M271="USD",N271,1))</x:f>
      </x:c>
      <x:c r="M271" s="22"/>
      <x:c r="N271" s="36" t="n">
        <x:f>IF(M271="USD",Settings!$B$7,1)</x:f>
        <x:v>1</x:v>
      </x:c>
      <x:c r="O271" s="22"/>
      <x:c r="P271" s="22"/>
      <x:c r="Q271" s="22"/>
      <x:c r="R271" s="22"/>
      <x:c r="S271" s="22"/>
      <x:c r="T271" s="22"/>
      <x:c r="U271" s="22"/>
      <x:c r="V271" s="22"/>
    </x:row>
    <x:row r="272">
      <x:c r="A272" s="22"/>
      <x:c r="B272" s="28"/>
      <x:c r="C272" s="22"/>
      <x:c r="D272" s="22"/>
      <x:c r="E272" s="22"/>
      <x:c r="F272" s="22"/>
      <x:c r="G272" s="22"/>
      <x:c r="H272" s="22"/>
      <x:c r="I272" s="22"/>
      <x:c r="J272" s="22"/>
      <x:c r="K272" s="24"/>
      <x:c r="L272" s="36" t="str">
        <x:f>IF(K272="","",K272*IF(M272="USD",N272,1))</x:f>
      </x:c>
      <x:c r="M272" s="22"/>
      <x:c r="N272" s="36" t="n">
        <x:f>IF(M272="USD",Settings!$B$7,1)</x:f>
        <x:v>1</x:v>
      </x:c>
      <x:c r="O272" s="22"/>
      <x:c r="P272" s="22"/>
      <x:c r="Q272" s="22"/>
      <x:c r="R272" s="22"/>
      <x:c r="S272" s="22"/>
      <x:c r="T272" s="22"/>
      <x:c r="U272" s="22"/>
      <x:c r="V272" s="22"/>
    </x:row>
    <x:row r="273">
      <x:c r="A273" s="22"/>
      <x:c r="B273" s="28"/>
      <x:c r="C273" s="22"/>
      <x:c r="D273" s="22"/>
      <x:c r="E273" s="22"/>
      <x:c r="F273" s="22"/>
      <x:c r="G273" s="22"/>
      <x:c r="H273" s="22"/>
      <x:c r="I273" s="22"/>
      <x:c r="J273" s="22"/>
      <x:c r="K273" s="24"/>
      <x:c r="L273" s="36" t="str">
        <x:f>IF(K273="","",K273*IF(M273="USD",N273,1))</x:f>
      </x:c>
      <x:c r="M273" s="22"/>
      <x:c r="N273" s="36" t="n">
        <x:f>IF(M273="USD",Settings!$B$7,1)</x:f>
        <x:v>1</x:v>
      </x:c>
      <x:c r="O273" s="22"/>
      <x:c r="P273" s="22"/>
      <x:c r="Q273" s="22"/>
      <x:c r="R273" s="22"/>
      <x:c r="S273" s="22"/>
      <x:c r="T273" s="22"/>
      <x:c r="U273" s="22"/>
      <x:c r="V273" s="22"/>
    </x:row>
    <x:row r="274">
      <x:c r="A274" s="22"/>
      <x:c r="B274" s="28"/>
      <x:c r="C274" s="22"/>
      <x:c r="D274" s="22"/>
      <x:c r="E274" s="22"/>
      <x:c r="F274" s="22"/>
      <x:c r="G274" s="22"/>
      <x:c r="H274" s="22"/>
      <x:c r="I274" s="22"/>
      <x:c r="J274" s="22"/>
      <x:c r="K274" s="24"/>
      <x:c r="L274" s="36" t="str">
        <x:f>IF(K274="","",K274*IF(M274="USD",N274,1))</x:f>
      </x:c>
      <x:c r="M274" s="22"/>
      <x:c r="N274" s="36" t="n">
        <x:f>IF(M274="USD",Settings!$B$7,1)</x:f>
        <x:v>1</x:v>
      </x:c>
      <x:c r="O274" s="22"/>
      <x:c r="P274" s="22"/>
      <x:c r="Q274" s="22"/>
      <x:c r="R274" s="22"/>
      <x:c r="S274" s="22"/>
      <x:c r="T274" s="22"/>
      <x:c r="U274" s="22"/>
      <x:c r="V274" s="22"/>
    </x:row>
    <x:row r="275">
      <x:c r="A275" s="22"/>
      <x:c r="B275" s="28"/>
      <x:c r="C275" s="22"/>
      <x:c r="D275" s="22"/>
      <x:c r="E275" s="22"/>
      <x:c r="F275" s="22"/>
      <x:c r="G275" s="22"/>
      <x:c r="H275" s="22"/>
      <x:c r="I275" s="22"/>
      <x:c r="J275" s="22"/>
      <x:c r="K275" s="24"/>
      <x:c r="L275" s="36" t="str">
        <x:f>IF(K275="","",K275*IF(M275="USD",N275,1))</x:f>
      </x:c>
      <x:c r="M275" s="22"/>
      <x:c r="N275" s="36" t="n">
        <x:f>IF(M275="USD",Settings!$B$7,1)</x:f>
        <x:v>1</x:v>
      </x:c>
      <x:c r="O275" s="22"/>
      <x:c r="P275" s="22"/>
      <x:c r="Q275" s="22"/>
      <x:c r="R275" s="22"/>
      <x:c r="S275" s="22"/>
      <x:c r="T275" s="22"/>
      <x:c r="U275" s="22"/>
      <x:c r="V275" s="22"/>
    </x:row>
    <x:row r="276">
      <x:c r="A276" s="22"/>
      <x:c r="B276" s="28"/>
      <x:c r="C276" s="22"/>
      <x:c r="D276" s="22"/>
      <x:c r="E276" s="22"/>
      <x:c r="F276" s="22"/>
      <x:c r="G276" s="22"/>
      <x:c r="H276" s="22"/>
      <x:c r="I276" s="22"/>
      <x:c r="J276" s="22"/>
      <x:c r="K276" s="24"/>
      <x:c r="L276" s="36" t="str">
        <x:f>IF(K276="","",K276*IF(M276="USD",N276,1))</x:f>
      </x:c>
      <x:c r="M276" s="22"/>
      <x:c r="N276" s="36" t="n">
        <x:f>IF(M276="USD",Settings!$B$7,1)</x:f>
        <x:v>1</x:v>
      </x:c>
      <x:c r="O276" s="22"/>
      <x:c r="P276" s="22"/>
      <x:c r="Q276" s="22"/>
      <x:c r="R276" s="22"/>
      <x:c r="S276" s="22"/>
      <x:c r="T276" s="22"/>
      <x:c r="U276" s="22"/>
      <x:c r="V276" s="22"/>
    </x:row>
    <x:row r="277">
      <x:c r="A277" s="22"/>
      <x:c r="B277" s="28"/>
      <x:c r="C277" s="22"/>
      <x:c r="D277" s="22"/>
      <x:c r="E277" s="22"/>
      <x:c r="F277" s="22"/>
      <x:c r="G277" s="22"/>
      <x:c r="H277" s="22"/>
      <x:c r="I277" s="22"/>
      <x:c r="J277" s="22"/>
      <x:c r="K277" s="24"/>
      <x:c r="L277" s="36" t="str">
        <x:f>IF(K277="","",K277*IF(M277="USD",N277,1))</x:f>
      </x:c>
      <x:c r="M277" s="22"/>
      <x:c r="N277" s="36" t="n">
        <x:f>IF(M277="USD",Settings!$B$7,1)</x:f>
        <x:v>1</x:v>
      </x:c>
      <x:c r="O277" s="22"/>
      <x:c r="P277" s="22"/>
      <x:c r="Q277" s="22"/>
      <x:c r="R277" s="22"/>
      <x:c r="S277" s="22"/>
      <x:c r="T277" s="22"/>
      <x:c r="U277" s="22"/>
      <x:c r="V277" s="22"/>
    </x:row>
    <x:row r="278">
      <x:c r="A278" s="22"/>
      <x:c r="B278" s="28"/>
      <x:c r="C278" s="22"/>
      <x:c r="D278" s="22"/>
      <x:c r="E278" s="22"/>
      <x:c r="F278" s="22"/>
      <x:c r="G278" s="22"/>
      <x:c r="H278" s="22"/>
      <x:c r="I278" s="22"/>
      <x:c r="J278" s="22"/>
      <x:c r="K278" s="24"/>
      <x:c r="L278" s="36" t="str">
        <x:f>IF(K278="","",K278*IF(M278="USD",N278,1))</x:f>
      </x:c>
      <x:c r="M278" s="22"/>
      <x:c r="N278" s="36" t="n">
        <x:f>IF(M278="USD",Settings!$B$7,1)</x:f>
        <x:v>1</x:v>
      </x:c>
      <x:c r="O278" s="22"/>
      <x:c r="P278" s="22"/>
      <x:c r="Q278" s="22"/>
      <x:c r="R278" s="22"/>
      <x:c r="S278" s="22"/>
      <x:c r="T278" s="22"/>
      <x:c r="U278" s="22"/>
      <x:c r="V278" s="22"/>
    </x:row>
    <x:row r="279">
      <x:c r="A279" s="22"/>
      <x:c r="B279" s="28"/>
      <x:c r="C279" s="22"/>
      <x:c r="D279" s="22"/>
      <x:c r="E279" s="22"/>
      <x:c r="F279" s="22"/>
      <x:c r="G279" s="22"/>
      <x:c r="H279" s="22"/>
      <x:c r="I279" s="22"/>
      <x:c r="J279" s="22"/>
      <x:c r="K279" s="24"/>
      <x:c r="L279" s="36" t="str">
        <x:f>IF(K279="","",K279*IF(M279="USD",N279,1))</x:f>
      </x:c>
      <x:c r="M279" s="22"/>
      <x:c r="N279" s="36" t="n">
        <x:f>IF(M279="USD",Settings!$B$7,1)</x:f>
        <x:v>1</x:v>
      </x:c>
      <x:c r="O279" s="22"/>
      <x:c r="P279" s="22"/>
      <x:c r="Q279" s="22"/>
      <x:c r="R279" s="22"/>
      <x:c r="S279" s="22"/>
      <x:c r="T279" s="22"/>
      <x:c r="U279" s="22"/>
      <x:c r="V279" s="22"/>
    </x:row>
    <x:row r="280">
      <x:c r="A280" s="22"/>
      <x:c r="B280" s="28"/>
      <x:c r="C280" s="22"/>
      <x:c r="D280" s="22"/>
      <x:c r="E280" s="22"/>
      <x:c r="F280" s="22"/>
      <x:c r="G280" s="22"/>
      <x:c r="H280" s="22"/>
      <x:c r="I280" s="22"/>
      <x:c r="J280" s="22"/>
      <x:c r="K280" s="24"/>
      <x:c r="L280" s="36" t="str">
        <x:f>IF(K280="","",K280*IF(M280="USD",N280,1))</x:f>
      </x:c>
      <x:c r="M280" s="22"/>
      <x:c r="N280" s="36" t="n">
        <x:f>IF(M280="USD",Settings!$B$7,1)</x:f>
        <x:v>1</x:v>
      </x:c>
      <x:c r="O280" s="22"/>
      <x:c r="P280" s="22"/>
      <x:c r="Q280" s="22"/>
      <x:c r="R280" s="22"/>
      <x:c r="S280" s="22"/>
      <x:c r="T280" s="22"/>
      <x:c r="U280" s="22"/>
      <x:c r="V280" s="22"/>
    </x:row>
    <x:row r="281">
      <x:c r="A281" s="22"/>
      <x:c r="B281" s="28"/>
      <x:c r="C281" s="22"/>
      <x:c r="D281" s="22"/>
      <x:c r="E281" s="22"/>
      <x:c r="F281" s="22"/>
      <x:c r="G281" s="22"/>
      <x:c r="H281" s="22"/>
      <x:c r="I281" s="22"/>
      <x:c r="J281" s="22"/>
      <x:c r="K281" s="24"/>
      <x:c r="L281" s="36" t="str">
        <x:f>IF(K281="","",K281*IF(M281="USD",N281,1))</x:f>
      </x:c>
      <x:c r="M281" s="22"/>
      <x:c r="N281" s="36" t="n">
        <x:f>IF(M281="USD",Settings!$B$7,1)</x:f>
        <x:v>1</x:v>
      </x:c>
      <x:c r="O281" s="22"/>
      <x:c r="P281" s="22"/>
      <x:c r="Q281" s="22"/>
      <x:c r="R281" s="22"/>
      <x:c r="S281" s="22"/>
      <x:c r="T281" s="22"/>
      <x:c r="U281" s="22"/>
      <x:c r="V281" s="22"/>
    </x:row>
    <x:row r="282">
      <x:c r="A282" s="22"/>
      <x:c r="B282" s="28"/>
      <x:c r="C282" s="22"/>
      <x:c r="D282" s="22"/>
      <x:c r="E282" s="22"/>
      <x:c r="F282" s="22"/>
      <x:c r="G282" s="22"/>
      <x:c r="H282" s="22"/>
      <x:c r="I282" s="22"/>
      <x:c r="J282" s="22"/>
      <x:c r="K282" s="24"/>
      <x:c r="L282" s="36" t="str">
        <x:f>IF(K282="","",K282*IF(M282="USD",N282,1))</x:f>
      </x:c>
      <x:c r="M282" s="22"/>
      <x:c r="N282" s="36" t="n">
        <x:f>IF(M282="USD",Settings!$B$7,1)</x:f>
        <x:v>1</x:v>
      </x:c>
      <x:c r="O282" s="22"/>
      <x:c r="P282" s="22"/>
      <x:c r="Q282" s="22"/>
      <x:c r="R282" s="22"/>
      <x:c r="S282" s="22"/>
      <x:c r="T282" s="22"/>
      <x:c r="U282" s="22"/>
      <x:c r="V282" s="22"/>
    </x:row>
    <x:row r="283">
      <x:c r="A283" s="22"/>
      <x:c r="B283" s="28"/>
      <x:c r="C283" s="22"/>
      <x:c r="D283" s="22"/>
      <x:c r="E283" s="22"/>
      <x:c r="F283" s="22"/>
      <x:c r="G283" s="22"/>
      <x:c r="H283" s="22"/>
      <x:c r="I283" s="22"/>
      <x:c r="J283" s="22"/>
      <x:c r="K283" s="24"/>
      <x:c r="L283" s="36" t="str">
        <x:f>IF(K283="","",K283*IF(M283="USD",N283,1))</x:f>
      </x:c>
      <x:c r="M283" s="22"/>
      <x:c r="N283" s="36" t="n">
        <x:f>IF(M283="USD",Settings!$B$7,1)</x:f>
        <x:v>1</x:v>
      </x:c>
      <x:c r="O283" s="22"/>
      <x:c r="P283" s="22"/>
      <x:c r="Q283" s="22"/>
      <x:c r="R283" s="22"/>
      <x:c r="S283" s="22"/>
      <x:c r="T283" s="22"/>
      <x:c r="U283" s="22"/>
      <x:c r="V283" s="22"/>
    </x:row>
    <x:row r="284">
      <x:c r="A284" s="22"/>
      <x:c r="B284" s="28"/>
      <x:c r="C284" s="22"/>
      <x:c r="D284" s="22"/>
      <x:c r="E284" s="22"/>
      <x:c r="F284" s="22"/>
      <x:c r="G284" s="22"/>
      <x:c r="H284" s="22"/>
      <x:c r="I284" s="22"/>
      <x:c r="J284" s="22"/>
      <x:c r="K284" s="24"/>
      <x:c r="L284" s="36" t="str">
        <x:f>IF(K284="","",K284*IF(M284="USD",N284,1))</x:f>
      </x:c>
      <x:c r="M284" s="22"/>
      <x:c r="N284" s="36" t="n">
        <x:f>IF(M284="USD",Settings!$B$7,1)</x:f>
        <x:v>1</x:v>
      </x:c>
      <x:c r="O284" s="22"/>
      <x:c r="P284" s="22"/>
      <x:c r="Q284" s="22"/>
      <x:c r="R284" s="22"/>
      <x:c r="S284" s="22"/>
      <x:c r="T284" s="22"/>
      <x:c r="U284" s="22"/>
      <x:c r="V284" s="22"/>
    </x:row>
    <x:row r="285">
      <x:c r="A285" s="22"/>
      <x:c r="B285" s="28"/>
      <x:c r="C285" s="22"/>
      <x:c r="D285" s="22"/>
      <x:c r="E285" s="22"/>
      <x:c r="F285" s="22"/>
      <x:c r="G285" s="22"/>
      <x:c r="H285" s="22"/>
      <x:c r="I285" s="22"/>
      <x:c r="J285" s="22"/>
      <x:c r="K285" s="24"/>
      <x:c r="L285" s="36" t="str">
        <x:f>IF(K285="","",K285*IF(M285="USD",N285,1))</x:f>
      </x:c>
      <x:c r="M285" s="22"/>
      <x:c r="N285" s="36" t="n">
        <x:f>IF(M285="USD",Settings!$B$7,1)</x:f>
        <x:v>1</x:v>
      </x:c>
      <x:c r="O285" s="22"/>
      <x:c r="P285" s="22"/>
      <x:c r="Q285" s="22"/>
      <x:c r="R285" s="22"/>
      <x:c r="S285" s="22"/>
      <x:c r="T285" s="22"/>
      <x:c r="U285" s="22"/>
      <x:c r="V285" s="22"/>
    </x:row>
    <x:row r="286">
      <x:c r="A286" s="22"/>
      <x:c r="B286" s="28"/>
      <x:c r="C286" s="22"/>
      <x:c r="D286" s="22"/>
      <x:c r="E286" s="22"/>
      <x:c r="F286" s="22"/>
      <x:c r="G286" s="22"/>
      <x:c r="H286" s="22"/>
      <x:c r="I286" s="22"/>
      <x:c r="J286" s="22"/>
      <x:c r="K286" s="24"/>
      <x:c r="L286" s="36" t="str">
        <x:f>IF(K286="","",K286*IF(M286="USD",N286,1))</x:f>
      </x:c>
      <x:c r="M286" s="22"/>
      <x:c r="N286" s="36" t="n">
        <x:f>IF(M286="USD",Settings!$B$7,1)</x:f>
        <x:v>1</x:v>
      </x:c>
      <x:c r="O286" s="22"/>
      <x:c r="P286" s="22"/>
      <x:c r="Q286" s="22"/>
      <x:c r="R286" s="22"/>
      <x:c r="S286" s="22"/>
      <x:c r="T286" s="22"/>
      <x:c r="U286" s="22"/>
      <x:c r="V286" s="22"/>
    </x:row>
    <x:row r="287">
      <x:c r="A287" s="22"/>
      <x:c r="B287" s="28"/>
      <x:c r="C287" s="22"/>
      <x:c r="D287" s="22"/>
      <x:c r="E287" s="22"/>
      <x:c r="F287" s="22"/>
      <x:c r="G287" s="22"/>
      <x:c r="H287" s="22"/>
      <x:c r="I287" s="22"/>
      <x:c r="J287" s="22"/>
      <x:c r="K287" s="24"/>
      <x:c r="L287" s="36" t="str">
        <x:f>IF(K287="","",K287*IF(M287="USD",N287,1))</x:f>
      </x:c>
      <x:c r="M287" s="22"/>
      <x:c r="N287" s="36" t="n">
        <x:f>IF(M287="USD",Settings!$B$7,1)</x:f>
        <x:v>1</x:v>
      </x:c>
      <x:c r="O287" s="22"/>
      <x:c r="P287" s="22"/>
      <x:c r="Q287" s="22"/>
      <x:c r="R287" s="22"/>
      <x:c r="S287" s="22"/>
      <x:c r="T287" s="22"/>
      <x:c r="U287" s="22"/>
      <x:c r="V287" s="22"/>
    </x:row>
    <x:row r="288">
      <x:c r="A288" s="22"/>
      <x:c r="B288" s="28"/>
      <x:c r="C288" s="22"/>
      <x:c r="D288" s="22"/>
      <x:c r="E288" s="22"/>
      <x:c r="F288" s="22"/>
      <x:c r="G288" s="22"/>
      <x:c r="H288" s="22"/>
      <x:c r="I288" s="22"/>
      <x:c r="J288" s="22"/>
      <x:c r="K288" s="24"/>
      <x:c r="L288" s="36" t="str">
        <x:f>IF(K288="","",K288*IF(M288="USD",N288,1))</x:f>
      </x:c>
      <x:c r="M288" s="22"/>
      <x:c r="N288" s="36" t="n">
        <x:f>IF(M288="USD",Settings!$B$7,1)</x:f>
        <x:v>1</x:v>
      </x:c>
      <x:c r="O288" s="22"/>
      <x:c r="P288" s="22"/>
      <x:c r="Q288" s="22"/>
      <x:c r="R288" s="22"/>
      <x:c r="S288" s="22"/>
      <x:c r="T288" s="22"/>
      <x:c r="U288" s="22"/>
      <x:c r="V288" s="22"/>
    </x:row>
    <x:row r="289">
      <x:c r="A289" s="22"/>
      <x:c r="B289" s="28"/>
      <x:c r="C289" s="22"/>
      <x:c r="D289" s="22"/>
      <x:c r="E289" s="22"/>
      <x:c r="F289" s="22"/>
      <x:c r="G289" s="22"/>
      <x:c r="H289" s="22"/>
      <x:c r="I289" s="22"/>
      <x:c r="J289" s="22"/>
      <x:c r="K289" s="24"/>
      <x:c r="L289" s="36" t="str">
        <x:f>IF(K289="","",K289*IF(M289="USD",N289,1))</x:f>
      </x:c>
      <x:c r="M289" s="22"/>
      <x:c r="N289" s="36" t="n">
        <x:f>IF(M289="USD",Settings!$B$7,1)</x:f>
        <x:v>1</x:v>
      </x:c>
      <x:c r="O289" s="22"/>
      <x:c r="P289" s="22"/>
      <x:c r="Q289" s="22"/>
      <x:c r="R289" s="22"/>
      <x:c r="S289" s="22"/>
      <x:c r="T289" s="22"/>
      <x:c r="U289" s="22"/>
      <x:c r="V289" s="22"/>
    </x:row>
    <x:row r="290">
      <x:c r="A290" s="22"/>
      <x:c r="B290" s="28"/>
      <x:c r="C290" s="22"/>
      <x:c r="D290" s="22"/>
      <x:c r="E290" s="22"/>
      <x:c r="F290" s="22"/>
      <x:c r="G290" s="22"/>
      <x:c r="H290" s="22"/>
      <x:c r="I290" s="22"/>
      <x:c r="J290" s="22"/>
      <x:c r="K290" s="24"/>
      <x:c r="L290" s="36" t="str">
        <x:f>IF(K290="","",K290*IF(M290="USD",N290,1))</x:f>
      </x:c>
      <x:c r="M290" s="22"/>
      <x:c r="N290" s="36" t="n">
        <x:f>IF(M290="USD",Settings!$B$7,1)</x:f>
        <x:v>1</x:v>
      </x:c>
      <x:c r="O290" s="22"/>
      <x:c r="P290" s="22"/>
      <x:c r="Q290" s="22"/>
      <x:c r="R290" s="22"/>
      <x:c r="S290" s="22"/>
      <x:c r="T290" s="22"/>
      <x:c r="U290" s="22"/>
      <x:c r="V290" s="22"/>
    </x:row>
    <x:row r="291">
      <x:c r="A291" s="22"/>
      <x:c r="B291" s="28"/>
      <x:c r="C291" s="22"/>
      <x:c r="D291" s="22"/>
      <x:c r="E291" s="22"/>
      <x:c r="F291" s="22"/>
      <x:c r="G291" s="22"/>
      <x:c r="H291" s="22"/>
      <x:c r="I291" s="22"/>
      <x:c r="J291" s="22"/>
      <x:c r="K291" s="24"/>
      <x:c r="L291" s="36" t="str">
        <x:f>IF(K291="","",K291*IF(M291="USD",N291,1))</x:f>
      </x:c>
      <x:c r="M291" s="22"/>
      <x:c r="N291" s="36" t="n">
        <x:f>IF(M291="USD",Settings!$B$7,1)</x:f>
        <x:v>1</x:v>
      </x:c>
      <x:c r="O291" s="22"/>
      <x:c r="P291" s="22"/>
      <x:c r="Q291" s="22"/>
      <x:c r="R291" s="22"/>
      <x:c r="S291" s="22"/>
      <x:c r="T291" s="22"/>
      <x:c r="U291" s="22"/>
      <x:c r="V291" s="22"/>
    </x:row>
    <x:row r="292">
      <x:c r="A292" s="22"/>
      <x:c r="B292" s="28"/>
      <x:c r="C292" s="22"/>
      <x:c r="D292" s="22"/>
      <x:c r="E292" s="22"/>
      <x:c r="F292" s="22"/>
      <x:c r="G292" s="22"/>
      <x:c r="H292" s="22"/>
      <x:c r="I292" s="22"/>
      <x:c r="J292" s="22"/>
      <x:c r="K292" s="24"/>
      <x:c r="L292" s="36" t="str">
        <x:f>IF(K292="","",K292*IF(M292="USD",N292,1))</x:f>
      </x:c>
      <x:c r="M292" s="22"/>
      <x:c r="N292" s="36" t="n">
        <x:f>IF(M292="USD",Settings!$B$7,1)</x:f>
        <x:v>1</x:v>
      </x:c>
      <x:c r="O292" s="22"/>
      <x:c r="P292" s="22"/>
      <x:c r="Q292" s="22"/>
      <x:c r="R292" s="22"/>
      <x:c r="S292" s="22"/>
      <x:c r="T292" s="22"/>
      <x:c r="U292" s="22"/>
      <x:c r="V292" s="22"/>
    </x:row>
    <x:row r="293">
      <x:c r="A293" s="22"/>
      <x:c r="B293" s="28"/>
      <x:c r="C293" s="22"/>
      <x:c r="D293" s="22"/>
      <x:c r="E293" s="22"/>
      <x:c r="F293" s="22"/>
      <x:c r="G293" s="22"/>
      <x:c r="H293" s="22"/>
      <x:c r="I293" s="22"/>
      <x:c r="J293" s="22"/>
      <x:c r="K293" s="24"/>
      <x:c r="L293" s="36" t="str">
        <x:f>IF(K293="","",K293*IF(M293="USD",N293,1))</x:f>
      </x:c>
      <x:c r="M293" s="22"/>
      <x:c r="N293" s="36" t="n">
        <x:f>IF(M293="USD",Settings!$B$7,1)</x:f>
        <x:v>1</x:v>
      </x:c>
      <x:c r="O293" s="22"/>
      <x:c r="P293" s="22"/>
      <x:c r="Q293" s="22"/>
      <x:c r="R293" s="22"/>
      <x:c r="S293" s="22"/>
      <x:c r="T293" s="22"/>
      <x:c r="U293" s="22"/>
      <x:c r="V293" s="22"/>
    </x:row>
    <x:row r="294">
      <x:c r="A294" s="22"/>
      <x:c r="B294" s="28"/>
      <x:c r="C294" s="22"/>
      <x:c r="D294" s="22"/>
      <x:c r="E294" s="22"/>
      <x:c r="F294" s="22"/>
      <x:c r="G294" s="22"/>
      <x:c r="H294" s="22"/>
      <x:c r="I294" s="22"/>
      <x:c r="J294" s="22"/>
      <x:c r="K294" s="24"/>
      <x:c r="L294" s="36" t="str">
        <x:f>IF(K294="","",K294*IF(M294="USD",N294,1))</x:f>
      </x:c>
      <x:c r="M294" s="22"/>
      <x:c r="N294" s="36" t="n">
        <x:f>IF(M294="USD",Settings!$B$7,1)</x:f>
        <x:v>1</x:v>
      </x:c>
      <x:c r="O294" s="22"/>
      <x:c r="P294" s="22"/>
      <x:c r="Q294" s="22"/>
      <x:c r="R294" s="22"/>
      <x:c r="S294" s="22"/>
      <x:c r="T294" s="22"/>
      <x:c r="U294" s="22"/>
      <x:c r="V294" s="22"/>
    </x:row>
    <x:row r="295">
      <x:c r="A295" s="22"/>
      <x:c r="B295" s="28"/>
      <x:c r="C295" s="22"/>
      <x:c r="D295" s="22"/>
      <x:c r="E295" s="22"/>
      <x:c r="F295" s="22"/>
      <x:c r="G295" s="22"/>
      <x:c r="H295" s="22"/>
      <x:c r="I295" s="22"/>
      <x:c r="J295" s="22"/>
      <x:c r="K295" s="24"/>
      <x:c r="L295" s="36" t="str">
        <x:f>IF(K295="","",K295*IF(M295="USD",N295,1))</x:f>
      </x:c>
      <x:c r="M295" s="22"/>
      <x:c r="N295" s="36" t="n">
        <x:f>IF(M295="USD",Settings!$B$7,1)</x:f>
        <x:v>1</x:v>
      </x:c>
      <x:c r="O295" s="22"/>
      <x:c r="P295" s="22"/>
      <x:c r="Q295" s="22"/>
      <x:c r="R295" s="22"/>
      <x:c r="S295" s="22"/>
      <x:c r="T295" s="22"/>
      <x:c r="U295" s="22"/>
      <x:c r="V295" s="22"/>
    </x:row>
    <x:row r="296">
      <x:c r="A296" s="22"/>
      <x:c r="B296" s="28"/>
      <x:c r="C296" s="22"/>
      <x:c r="D296" s="22"/>
      <x:c r="E296" s="22"/>
      <x:c r="F296" s="22"/>
      <x:c r="G296" s="22"/>
      <x:c r="H296" s="22"/>
      <x:c r="I296" s="22"/>
      <x:c r="J296" s="22"/>
      <x:c r="K296" s="24"/>
      <x:c r="L296" s="36" t="str">
        <x:f>IF(K296="","",K296*IF(M296="USD",N296,1))</x:f>
      </x:c>
      <x:c r="M296" s="22"/>
      <x:c r="N296" s="36" t="n">
        <x:f>IF(M296="USD",Settings!$B$7,1)</x:f>
        <x:v>1</x:v>
      </x:c>
      <x:c r="O296" s="22"/>
      <x:c r="P296" s="22"/>
      <x:c r="Q296" s="22"/>
      <x:c r="R296" s="22"/>
      <x:c r="S296" s="22"/>
      <x:c r="T296" s="22"/>
      <x:c r="U296" s="22"/>
      <x:c r="V296" s="22"/>
    </x:row>
    <x:row r="297">
      <x:c r="A297" s="22"/>
      <x:c r="B297" s="28"/>
      <x:c r="C297" s="22"/>
      <x:c r="D297" s="22"/>
      <x:c r="E297" s="22"/>
      <x:c r="F297" s="22"/>
      <x:c r="G297" s="22"/>
      <x:c r="H297" s="22"/>
      <x:c r="I297" s="22"/>
      <x:c r="J297" s="22"/>
      <x:c r="K297" s="24"/>
      <x:c r="L297" s="36" t="str">
        <x:f>IF(K297="","",K297*IF(M297="USD",N297,1))</x:f>
      </x:c>
      <x:c r="M297" s="22"/>
      <x:c r="N297" s="36" t="n">
        <x:f>IF(M297="USD",Settings!$B$7,1)</x:f>
        <x:v>1</x:v>
      </x:c>
      <x:c r="O297" s="22"/>
      <x:c r="P297" s="22"/>
      <x:c r="Q297" s="22"/>
      <x:c r="R297" s="22"/>
      <x:c r="S297" s="22"/>
      <x:c r="T297" s="22"/>
      <x:c r="U297" s="22"/>
      <x:c r="V297" s="22"/>
    </x:row>
    <x:row r="298">
      <x:c r="A298" s="22"/>
      <x:c r="B298" s="28"/>
      <x:c r="C298" s="22"/>
      <x:c r="D298" s="22"/>
      <x:c r="E298" s="22"/>
      <x:c r="F298" s="22"/>
      <x:c r="G298" s="22"/>
      <x:c r="H298" s="22"/>
      <x:c r="I298" s="22"/>
      <x:c r="J298" s="22"/>
      <x:c r="K298" s="24"/>
      <x:c r="L298" s="36" t="str">
        <x:f>IF(K298="","",K298*IF(M298="USD",N298,1))</x:f>
      </x:c>
      <x:c r="M298" s="22"/>
      <x:c r="N298" s="36" t="n">
        <x:f>IF(M298="USD",Settings!$B$7,1)</x:f>
        <x:v>1</x:v>
      </x:c>
      <x:c r="O298" s="22"/>
      <x:c r="P298" s="22"/>
      <x:c r="Q298" s="22"/>
      <x:c r="R298" s="22"/>
      <x:c r="S298" s="22"/>
      <x:c r="T298" s="22"/>
      <x:c r="U298" s="22"/>
      <x:c r="V298" s="22"/>
    </x:row>
    <x:row r="299">
      <x:c r="A299" s="22"/>
      <x:c r="B299" s="28"/>
      <x:c r="C299" s="22"/>
      <x:c r="D299" s="22"/>
      <x:c r="E299" s="22"/>
      <x:c r="F299" s="22"/>
      <x:c r="G299" s="22"/>
      <x:c r="H299" s="22"/>
      <x:c r="I299" s="22"/>
      <x:c r="J299" s="22"/>
      <x:c r="K299" s="24"/>
      <x:c r="L299" s="36" t="str">
        <x:f>IF(K299="","",K299*IF(M299="USD",N299,1))</x:f>
      </x:c>
      <x:c r="M299" s="22"/>
      <x:c r="N299" s="36" t="n">
        <x:f>IF(M299="USD",Settings!$B$7,1)</x:f>
        <x:v>1</x:v>
      </x:c>
      <x:c r="O299" s="22"/>
      <x:c r="P299" s="22"/>
      <x:c r="Q299" s="22"/>
      <x:c r="R299" s="22"/>
      <x:c r="S299" s="22"/>
      <x:c r="T299" s="22"/>
      <x:c r="U299" s="22"/>
      <x:c r="V299" s="22"/>
    </x:row>
    <x:row r="300">
      <x:c r="A300" s="22"/>
      <x:c r="B300" s="28"/>
      <x:c r="C300" s="22"/>
      <x:c r="D300" s="22"/>
      <x:c r="E300" s="22"/>
      <x:c r="F300" s="22"/>
      <x:c r="G300" s="22"/>
      <x:c r="H300" s="22"/>
      <x:c r="I300" s="22"/>
      <x:c r="J300" s="22"/>
      <x:c r="K300" s="24"/>
      <x:c r="L300" s="36" t="str">
        <x:f>IF(K300="","",K300*IF(M300="USD",N300,1))</x:f>
      </x:c>
      <x:c r="M300" s="22"/>
      <x:c r="N300" s="36" t="n">
        <x:f>IF(M300="USD",Settings!$B$7,1)</x:f>
        <x:v>1</x:v>
      </x:c>
      <x:c r="O300" s="22"/>
      <x:c r="P300" s="22"/>
      <x:c r="Q300" s="22"/>
      <x:c r="R300" s="22"/>
      <x:c r="S300" s="22"/>
      <x:c r="T300" s="22"/>
      <x:c r="U300" s="22"/>
      <x:c r="V300" s="22"/>
    </x:row>
  </x:sheetData>
  <x:mergeCells>
    <x:mergeCell ref="A1:W1"/>
    <x:mergeCell ref="A2:W2"/>
  </x:mergeCells>
  <x:dataValidations count="4">
    <x:dataValidation type="list" sqref="C5:C300">
      <x:formula1>"DRAFT,PENDING,POSTED,VOID"</x:formula1>
    </x:dataValidation>
    <x:dataValidation type="list" sqref="D5:D300">
      <x:formula1>"INCOME,EXPENSE,TRANSFER,GOAL_ALLOCATION,GOAL_WITHDRAWAL,INVESTMENT_BUY,INVESTMENT_SELL,INVESTMENT_INCOME,DEBT_BORROW,DEBT_PAYMENT,ADJUSTMENT"</x:formula1>
    </x:dataValidation>
    <x:dataValidation type="list" sqref="F5:F300">
      <x:formula1>"FAMILY,PERSONAL,BUSINESS"</x:formula1>
    </x:dataValidation>
    <x:dataValidation type="list" sqref="M5:M300">
      <x:formula1>"VND,USD"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7" hidden="0" customWidth="1"/>
    <x:col min="7" max="7" width="16" hidden="0" customWidth="1"/>
    <x:col min="8" max="8" width="16" hidden="0" customWidth="1"/>
    <x:col min="9" max="9" width="14" hidden="0" customWidth="1"/>
    <x:col min="10" max="10" width="18" hidden="0" customWidth="1"/>
    <x:col min="11" max="11" width="16" hidden="0" customWidth="1"/>
    <x:col min="12" max="12" width="28" hidden="0" customWidth="1"/>
  </x:cols>
  <x:sheetData>
    <x:row r="1" ht="26" customHeight="1">
      <x:c r="A1" s="3" t="str">
        <x:v>NGÂN SÁCH THÁNG</x:v>
      </x:c>
    </x:row>
    <x:row r="2" ht="28" customHeight="1">
      <x:c r="A2" s="8" t="str">
        <x:v>Tính theo tháng dương lịch. Phần chưa dùng hết trở về tiền chưa phân bổ.</x:v>
      </x:c>
    </x:row>
    <x:row r="4" ht="30" customHeight="1">
      <x:c r="A4" s="16" t="str">
        <x:v>Budget_ID</x:v>
      </x:c>
      <x:c r="B4" s="16" t="str">
        <x:v>Tháng</x:v>
      </x:c>
      <x:c r="C4" s="16" t="str">
        <x:v>Privacy_Tag</x:v>
      </x:c>
      <x:c r="D4" s="16" t="str">
        <x:v>Category_ID</x:v>
      </x:c>
      <x:c r="E4" s="16" t="str">
        <x:v>Nhóm</x:v>
      </x:c>
      <x:c r="F4" s="16" t="str">
        <x:v>Ngân sách</x:v>
      </x:c>
      <x:c r="G4" s="16" t="str">
        <x:v>Thực chi</x:v>
      </x:c>
      <x:c r="H4" s="16" t="str">
        <x:v>Còn lại</x:v>
      </x:c>
      <x:c r="I4" s="16" t="str">
        <x:v>Tỷ lệ dùng</x:v>
      </x:c>
      <x:c r="J4" s="16" t="str">
        <x:v>Dự báo cuối tháng</x:v>
      </x:c>
      <x:c r="K4" s="16" t="str">
        <x:v>Trạng thái</x:v>
      </x:c>
      <x:c r="L4" s="16" t="str">
        <x:v>Ghi chú</x:v>
      </x:c>
    </x:row>
    <x:row r="5">
      <x:c r="A5" s="22"/>
      <x:c r="B5" s="38"/>
      <x:c r="C5" s="22"/>
      <x:c r="D5" s="22"/>
      <x:c r="E5" s="22"/>
      <x:c r="F5" s="24"/>
      <x:c r="G5" s="34" t="n">
        <x:f>SUMIFS(Transactions!$L:$L,Transactions!$I:$I,D5,Transactions!$D:$D,"EXPENSE",Transactions!$C:$C,"POSTED",Transactions!$B:$B,"&gt;="&amp;B5,Transactions!$B:$B,"&lt;"&amp;EDATE(B5,1))</x:f>
        <x:v>0</x:v>
      </x:c>
      <x:c r="H5" s="34" t="n">
        <x:f>F5-G5</x:f>
        <x:v>0</x:v>
      </x:c>
      <x:c r="I5" s="40" t="n">
        <x:f>IFERROR(G5/F5,0)</x:f>
        <x:v>0</x:v>
      </x:c>
      <x:c r="J5" s="34" t="str">
        <x:f>IF(B5="","",G5/MAX(1,DAY(MIN(TODAY(),EOMONTH(B5,0))))*DAY(EOMONTH(B5,0)))</x:f>
      </x:c>
      <x:c r="K5" s="32" t="str">
        <x:f>IF(F5="","",IF(I5&gt;=Settings!$B$13,"VƯỢT",IF(I5&gt;=Settings!$B$12,"CẢNH BÁO","BÌNH THƯỜNG")))</x:f>
      </x:c>
      <x:c r="L5" s="22"/>
    </x:row>
    <x:row r="6">
      <x:c r="A6" s="22"/>
      <x:c r="B6" s="38"/>
      <x:c r="C6" s="22"/>
      <x:c r="D6" s="22"/>
      <x:c r="E6" s="22"/>
      <x:c r="F6" s="24"/>
      <x:c r="G6" s="34" t="n">
        <x:f>SUMIFS(Transactions!$L:$L,Transactions!$I:$I,D6,Transactions!$D:$D,"EXPENSE",Transactions!$C:$C,"POSTED",Transactions!$B:$B,"&gt;="&amp;B6,Transactions!$B:$B,"&lt;"&amp;EDATE(B6,1))</x:f>
        <x:v>0</x:v>
      </x:c>
      <x:c r="H6" s="34" t="n">
        <x:f>F6-G6</x:f>
        <x:v>0</x:v>
      </x:c>
      <x:c r="I6" s="40" t="n">
        <x:f>IFERROR(G6/F6,0)</x:f>
        <x:v>0</x:v>
      </x:c>
      <x:c r="J6" s="34" t="str">
        <x:f>IF(B6="","",G6/MAX(1,DAY(MIN(TODAY(),EOMONTH(B6,0))))*DAY(EOMONTH(B6,0)))</x:f>
      </x:c>
      <x:c r="K6" s="32" t="str">
        <x:f>IF(F6="","",IF(I6&gt;=Settings!$B$13,"VƯỢT",IF(I6&gt;=Settings!$B$12,"CẢNH BÁO","BÌNH THƯỜNG")))</x:f>
      </x:c>
      <x:c r="L6" s="22"/>
    </x:row>
    <x:row r="7">
      <x:c r="A7" s="22"/>
      <x:c r="B7" s="38"/>
      <x:c r="C7" s="22"/>
      <x:c r="D7" s="22"/>
      <x:c r="E7" s="22"/>
      <x:c r="F7" s="24"/>
      <x:c r="G7" s="34" t="n">
        <x:f>SUMIFS(Transactions!$L:$L,Transactions!$I:$I,D7,Transactions!$D:$D,"EXPENSE",Transactions!$C:$C,"POSTED",Transactions!$B:$B,"&gt;="&amp;B7,Transactions!$B:$B,"&lt;"&amp;EDATE(B7,1))</x:f>
        <x:v>0</x:v>
      </x:c>
      <x:c r="H7" s="34" t="n">
        <x:f>F7-G7</x:f>
        <x:v>0</x:v>
      </x:c>
      <x:c r="I7" s="40" t="n">
        <x:f>IFERROR(G7/F7,0)</x:f>
        <x:v>0</x:v>
      </x:c>
      <x:c r="J7" s="34" t="str">
        <x:f>IF(B7="","",G7/MAX(1,DAY(MIN(TODAY(),EOMONTH(B7,0))))*DAY(EOMONTH(B7,0)))</x:f>
      </x:c>
      <x:c r="K7" s="32" t="str">
        <x:f>IF(F7="","",IF(I7&gt;=Settings!$B$13,"VƯỢT",IF(I7&gt;=Settings!$B$12,"CẢNH BÁO","BÌNH THƯỜNG")))</x:f>
      </x:c>
      <x:c r="L7" s="22"/>
    </x:row>
    <x:row r="8">
      <x:c r="A8" s="22"/>
      <x:c r="B8" s="38"/>
      <x:c r="C8" s="22"/>
      <x:c r="D8" s="22"/>
      <x:c r="E8" s="22"/>
      <x:c r="F8" s="24"/>
      <x:c r="G8" s="34" t="n">
        <x:f>SUMIFS(Transactions!$L:$L,Transactions!$I:$I,D8,Transactions!$D:$D,"EXPENSE",Transactions!$C:$C,"POSTED",Transactions!$B:$B,"&gt;="&amp;B8,Transactions!$B:$B,"&lt;"&amp;EDATE(B8,1))</x:f>
        <x:v>0</x:v>
      </x:c>
      <x:c r="H8" s="34" t="n">
        <x:f>F8-G8</x:f>
        <x:v>0</x:v>
      </x:c>
      <x:c r="I8" s="40" t="n">
        <x:f>IFERROR(G8/F8,0)</x:f>
        <x:v>0</x:v>
      </x:c>
      <x:c r="J8" s="34" t="str">
        <x:f>IF(B8="","",G8/MAX(1,DAY(MIN(TODAY(),EOMONTH(B8,0))))*DAY(EOMONTH(B8,0)))</x:f>
      </x:c>
      <x:c r="K8" s="32" t="str">
        <x:f>IF(F8="","",IF(I8&gt;=Settings!$B$13,"VƯỢT",IF(I8&gt;=Settings!$B$12,"CẢNH BÁO","BÌNH THƯỜNG")))</x:f>
      </x:c>
      <x:c r="L8" s="22"/>
    </x:row>
    <x:row r="9">
      <x:c r="A9" s="22"/>
      <x:c r="B9" s="38"/>
      <x:c r="C9" s="22"/>
      <x:c r="D9" s="22"/>
      <x:c r="E9" s="22"/>
      <x:c r="F9" s="24"/>
      <x:c r="G9" s="34" t="n">
        <x:f>SUMIFS(Transactions!$L:$L,Transactions!$I:$I,D9,Transactions!$D:$D,"EXPENSE",Transactions!$C:$C,"POSTED",Transactions!$B:$B,"&gt;="&amp;B9,Transactions!$B:$B,"&lt;"&amp;EDATE(B9,1))</x:f>
        <x:v>0</x:v>
      </x:c>
      <x:c r="H9" s="34" t="n">
        <x:f>F9-G9</x:f>
        <x:v>0</x:v>
      </x:c>
      <x:c r="I9" s="40" t="n">
        <x:f>IFERROR(G9/F9,0)</x:f>
        <x:v>0</x:v>
      </x:c>
      <x:c r="J9" s="34" t="str">
        <x:f>IF(B9="","",G9/MAX(1,DAY(MIN(TODAY(),EOMONTH(B9,0))))*DAY(EOMONTH(B9,0)))</x:f>
      </x:c>
      <x:c r="K9" s="32" t="str">
        <x:f>IF(F9="","",IF(I9&gt;=Settings!$B$13,"VƯỢT",IF(I9&gt;=Settings!$B$12,"CẢNH BÁO","BÌNH THƯỜNG")))</x:f>
      </x:c>
      <x:c r="L9" s="22"/>
    </x:row>
    <x:row r="10">
      <x:c r="A10" s="22"/>
      <x:c r="B10" s="38"/>
      <x:c r="C10" s="22"/>
      <x:c r="D10" s="22"/>
      <x:c r="E10" s="22"/>
      <x:c r="F10" s="24"/>
      <x:c r="G10" s="34" t="n">
        <x:f>SUMIFS(Transactions!$L:$L,Transactions!$I:$I,D10,Transactions!$D:$D,"EXPENSE",Transactions!$C:$C,"POSTED",Transactions!$B:$B,"&gt;="&amp;B10,Transactions!$B:$B,"&lt;"&amp;EDATE(B10,1))</x:f>
        <x:v>0</x:v>
      </x:c>
      <x:c r="H10" s="34" t="n">
        <x:f>F10-G10</x:f>
        <x:v>0</x:v>
      </x:c>
      <x:c r="I10" s="40" t="n">
        <x:f>IFERROR(G10/F10,0)</x:f>
        <x:v>0</x:v>
      </x:c>
      <x:c r="J10" s="34" t="str">
        <x:f>IF(B10="","",G10/MAX(1,DAY(MIN(TODAY(),EOMONTH(B10,0))))*DAY(EOMONTH(B10,0)))</x:f>
      </x:c>
      <x:c r="K10" s="32" t="str">
        <x:f>IF(F10="","",IF(I10&gt;=Settings!$B$13,"VƯỢT",IF(I10&gt;=Settings!$B$12,"CẢNH BÁO","BÌNH THƯỜNG")))</x:f>
      </x:c>
      <x:c r="L10" s="22"/>
    </x:row>
    <x:row r="11">
      <x:c r="A11" s="22"/>
      <x:c r="B11" s="38"/>
      <x:c r="C11" s="22"/>
      <x:c r="D11" s="22"/>
      <x:c r="E11" s="22"/>
      <x:c r="F11" s="24"/>
      <x:c r="G11" s="34" t="n">
        <x:f>SUMIFS(Transactions!$L:$L,Transactions!$I:$I,D11,Transactions!$D:$D,"EXPENSE",Transactions!$C:$C,"POSTED",Transactions!$B:$B,"&gt;="&amp;B11,Transactions!$B:$B,"&lt;"&amp;EDATE(B11,1))</x:f>
        <x:v>0</x:v>
      </x:c>
      <x:c r="H11" s="34" t="n">
        <x:f>F11-G11</x:f>
        <x:v>0</x:v>
      </x:c>
      <x:c r="I11" s="40" t="n">
        <x:f>IFERROR(G11/F11,0)</x:f>
        <x:v>0</x:v>
      </x:c>
      <x:c r="J11" s="34" t="str">
        <x:f>IF(B11="","",G11/MAX(1,DAY(MIN(TODAY(),EOMONTH(B11,0))))*DAY(EOMONTH(B11,0)))</x:f>
      </x:c>
      <x:c r="K11" s="32" t="str">
        <x:f>IF(F11="","",IF(I11&gt;=Settings!$B$13,"VƯỢT",IF(I11&gt;=Settings!$B$12,"CẢNH BÁO","BÌNH THƯỜNG")))</x:f>
      </x:c>
      <x:c r="L11" s="22"/>
    </x:row>
    <x:row r="12">
      <x:c r="A12" s="22"/>
      <x:c r="B12" s="38"/>
      <x:c r="C12" s="22"/>
      <x:c r="D12" s="22"/>
      <x:c r="E12" s="22"/>
      <x:c r="F12" s="24"/>
      <x:c r="G12" s="34" t="n">
        <x:f>SUMIFS(Transactions!$L:$L,Transactions!$I:$I,D12,Transactions!$D:$D,"EXPENSE",Transactions!$C:$C,"POSTED",Transactions!$B:$B,"&gt;="&amp;B12,Transactions!$B:$B,"&lt;"&amp;EDATE(B12,1))</x:f>
        <x:v>0</x:v>
      </x:c>
      <x:c r="H12" s="34" t="n">
        <x:f>F12-G12</x:f>
        <x:v>0</x:v>
      </x:c>
      <x:c r="I12" s="40" t="n">
        <x:f>IFERROR(G12/F12,0)</x:f>
        <x:v>0</x:v>
      </x:c>
      <x:c r="J12" s="34" t="str">
        <x:f>IF(B12="","",G12/MAX(1,DAY(MIN(TODAY(),EOMONTH(B12,0))))*DAY(EOMONTH(B12,0)))</x:f>
      </x:c>
      <x:c r="K12" s="32" t="str">
        <x:f>IF(F12="","",IF(I12&gt;=Settings!$B$13,"VƯỢT",IF(I12&gt;=Settings!$B$12,"CẢNH BÁO","BÌNH THƯỜNG")))</x:f>
      </x:c>
      <x:c r="L12" s="22"/>
    </x:row>
    <x:row r="13">
      <x:c r="A13" s="22"/>
      <x:c r="B13" s="38"/>
      <x:c r="C13" s="22"/>
      <x:c r="D13" s="22"/>
      <x:c r="E13" s="22"/>
      <x:c r="F13" s="24"/>
      <x:c r="G13" s="34" t="n">
        <x:f>SUMIFS(Transactions!$L:$L,Transactions!$I:$I,D13,Transactions!$D:$D,"EXPENSE",Transactions!$C:$C,"POSTED",Transactions!$B:$B,"&gt;="&amp;B13,Transactions!$B:$B,"&lt;"&amp;EDATE(B13,1))</x:f>
        <x:v>0</x:v>
      </x:c>
      <x:c r="H13" s="34" t="n">
        <x:f>F13-G13</x:f>
        <x:v>0</x:v>
      </x:c>
      <x:c r="I13" s="40" t="n">
        <x:f>IFERROR(G13/F13,0)</x:f>
        <x:v>0</x:v>
      </x:c>
      <x:c r="J13" s="34" t="str">
        <x:f>IF(B13="","",G13/MAX(1,DAY(MIN(TODAY(),EOMONTH(B13,0))))*DAY(EOMONTH(B13,0)))</x:f>
      </x:c>
      <x:c r="K13" s="32" t="str">
        <x:f>IF(F13="","",IF(I13&gt;=Settings!$B$13,"VƯỢT",IF(I13&gt;=Settings!$B$12,"CẢNH BÁO","BÌNH THƯỜNG")))</x:f>
      </x:c>
      <x:c r="L13" s="22"/>
    </x:row>
    <x:row r="14">
      <x:c r="A14" s="22"/>
      <x:c r="B14" s="38"/>
      <x:c r="C14" s="22"/>
      <x:c r="D14" s="22"/>
      <x:c r="E14" s="22"/>
      <x:c r="F14" s="24"/>
      <x:c r="G14" s="34" t="n">
        <x:f>SUMIFS(Transactions!$L:$L,Transactions!$I:$I,D14,Transactions!$D:$D,"EXPENSE",Transactions!$C:$C,"POSTED",Transactions!$B:$B,"&gt;="&amp;B14,Transactions!$B:$B,"&lt;"&amp;EDATE(B14,1))</x:f>
        <x:v>0</x:v>
      </x:c>
      <x:c r="H14" s="34" t="n">
        <x:f>F14-G14</x:f>
        <x:v>0</x:v>
      </x:c>
      <x:c r="I14" s="40" t="n">
        <x:f>IFERROR(G14/F14,0)</x:f>
        <x:v>0</x:v>
      </x:c>
      <x:c r="J14" s="34" t="str">
        <x:f>IF(B14="","",G14/MAX(1,DAY(MIN(TODAY(),EOMONTH(B14,0))))*DAY(EOMONTH(B14,0)))</x:f>
      </x:c>
      <x:c r="K14" s="32" t="str">
        <x:f>IF(F14="","",IF(I14&gt;=Settings!$B$13,"VƯỢT",IF(I14&gt;=Settings!$B$12,"CẢNH BÁO","BÌNH THƯỜNG")))</x:f>
      </x:c>
      <x:c r="L14" s="22"/>
    </x:row>
    <x:row r="15">
      <x:c r="A15" s="22"/>
      <x:c r="B15" s="38"/>
      <x:c r="C15" s="22"/>
      <x:c r="D15" s="22"/>
      <x:c r="E15" s="22"/>
      <x:c r="F15" s="24"/>
      <x:c r="G15" s="34" t="n">
        <x:f>SUMIFS(Transactions!$L:$L,Transactions!$I:$I,D15,Transactions!$D:$D,"EXPENSE",Transactions!$C:$C,"POSTED",Transactions!$B:$B,"&gt;="&amp;B15,Transactions!$B:$B,"&lt;"&amp;EDATE(B15,1))</x:f>
        <x:v>0</x:v>
      </x:c>
      <x:c r="H15" s="34" t="n">
        <x:f>F15-G15</x:f>
        <x:v>0</x:v>
      </x:c>
      <x:c r="I15" s="40" t="n">
        <x:f>IFERROR(G15/F15,0)</x:f>
        <x:v>0</x:v>
      </x:c>
      <x:c r="J15" s="34" t="str">
        <x:f>IF(B15="","",G15/MAX(1,DAY(MIN(TODAY(),EOMONTH(B15,0))))*DAY(EOMONTH(B15,0)))</x:f>
      </x:c>
      <x:c r="K15" s="32" t="str">
        <x:f>IF(F15="","",IF(I15&gt;=Settings!$B$13,"VƯỢT",IF(I15&gt;=Settings!$B$12,"CẢNH BÁO","BÌNH THƯỜNG")))</x:f>
      </x:c>
      <x:c r="L15" s="22"/>
    </x:row>
    <x:row r="16">
      <x:c r="A16" s="22"/>
      <x:c r="B16" s="38"/>
      <x:c r="C16" s="22"/>
      <x:c r="D16" s="22"/>
      <x:c r="E16" s="22"/>
      <x:c r="F16" s="24"/>
      <x:c r="G16" s="34" t="n">
        <x:f>SUMIFS(Transactions!$L:$L,Transactions!$I:$I,D16,Transactions!$D:$D,"EXPENSE",Transactions!$C:$C,"POSTED",Transactions!$B:$B,"&gt;="&amp;B16,Transactions!$B:$B,"&lt;"&amp;EDATE(B16,1))</x:f>
        <x:v>0</x:v>
      </x:c>
      <x:c r="H16" s="34" t="n">
        <x:f>F16-G16</x:f>
        <x:v>0</x:v>
      </x:c>
      <x:c r="I16" s="40" t="n">
        <x:f>IFERROR(G16/F16,0)</x:f>
        <x:v>0</x:v>
      </x:c>
      <x:c r="J16" s="34" t="str">
        <x:f>IF(B16="","",G16/MAX(1,DAY(MIN(TODAY(),EOMONTH(B16,0))))*DAY(EOMONTH(B16,0)))</x:f>
      </x:c>
      <x:c r="K16" s="32" t="str">
        <x:f>IF(F16="","",IF(I16&gt;=Settings!$B$13,"VƯỢT",IF(I16&gt;=Settings!$B$12,"CẢNH BÁO","BÌNH THƯỜNG")))</x:f>
      </x:c>
      <x:c r="L16" s="22"/>
    </x:row>
    <x:row r="17">
      <x:c r="A17" s="22"/>
      <x:c r="B17" s="38"/>
      <x:c r="C17" s="22"/>
      <x:c r="D17" s="22"/>
      <x:c r="E17" s="22"/>
      <x:c r="F17" s="24"/>
      <x:c r="G17" s="34" t="n">
        <x:f>SUMIFS(Transactions!$L:$L,Transactions!$I:$I,D17,Transactions!$D:$D,"EXPENSE",Transactions!$C:$C,"POSTED",Transactions!$B:$B,"&gt;="&amp;B17,Transactions!$B:$B,"&lt;"&amp;EDATE(B17,1))</x:f>
        <x:v>0</x:v>
      </x:c>
      <x:c r="H17" s="34" t="n">
        <x:f>F17-G17</x:f>
        <x:v>0</x:v>
      </x:c>
      <x:c r="I17" s="40" t="n">
        <x:f>IFERROR(G17/F17,0)</x:f>
        <x:v>0</x:v>
      </x:c>
      <x:c r="J17" s="34" t="str">
        <x:f>IF(B17="","",G17/MAX(1,DAY(MIN(TODAY(),EOMONTH(B17,0))))*DAY(EOMONTH(B17,0)))</x:f>
      </x:c>
      <x:c r="K17" s="32" t="str">
        <x:f>IF(F17="","",IF(I17&gt;=Settings!$B$13,"VƯỢT",IF(I17&gt;=Settings!$B$12,"CẢNH BÁO","BÌNH THƯỜNG")))</x:f>
      </x:c>
      <x:c r="L17" s="22"/>
    </x:row>
    <x:row r="18">
      <x:c r="A18" s="22"/>
      <x:c r="B18" s="38"/>
      <x:c r="C18" s="22"/>
      <x:c r="D18" s="22"/>
      <x:c r="E18" s="22"/>
      <x:c r="F18" s="24"/>
      <x:c r="G18" s="34" t="n">
        <x:f>SUMIFS(Transactions!$L:$L,Transactions!$I:$I,D18,Transactions!$D:$D,"EXPENSE",Transactions!$C:$C,"POSTED",Transactions!$B:$B,"&gt;="&amp;B18,Transactions!$B:$B,"&lt;"&amp;EDATE(B18,1))</x:f>
        <x:v>0</x:v>
      </x:c>
      <x:c r="H18" s="34" t="n">
        <x:f>F18-G18</x:f>
        <x:v>0</x:v>
      </x:c>
      <x:c r="I18" s="40" t="n">
        <x:f>IFERROR(G18/F18,0)</x:f>
        <x:v>0</x:v>
      </x:c>
      <x:c r="J18" s="34" t="str">
        <x:f>IF(B18="","",G18/MAX(1,DAY(MIN(TODAY(),EOMONTH(B18,0))))*DAY(EOMONTH(B18,0)))</x:f>
      </x:c>
      <x:c r="K18" s="32" t="str">
        <x:f>IF(F18="","",IF(I18&gt;=Settings!$B$13,"VƯỢT",IF(I18&gt;=Settings!$B$12,"CẢNH BÁO","BÌNH THƯỜNG")))</x:f>
      </x:c>
      <x:c r="L18" s="22"/>
    </x:row>
    <x:row r="19">
      <x:c r="A19" s="22"/>
      <x:c r="B19" s="38"/>
      <x:c r="C19" s="22"/>
      <x:c r="D19" s="22"/>
      <x:c r="E19" s="22"/>
      <x:c r="F19" s="24"/>
      <x:c r="G19" s="34" t="n">
        <x:f>SUMIFS(Transactions!$L:$L,Transactions!$I:$I,D19,Transactions!$D:$D,"EXPENSE",Transactions!$C:$C,"POSTED",Transactions!$B:$B,"&gt;="&amp;B19,Transactions!$B:$B,"&lt;"&amp;EDATE(B19,1))</x:f>
        <x:v>0</x:v>
      </x:c>
      <x:c r="H19" s="34" t="n">
        <x:f>F19-G19</x:f>
        <x:v>0</x:v>
      </x:c>
      <x:c r="I19" s="40" t="n">
        <x:f>IFERROR(G19/F19,0)</x:f>
        <x:v>0</x:v>
      </x:c>
      <x:c r="J19" s="34" t="str">
        <x:f>IF(B19="","",G19/MAX(1,DAY(MIN(TODAY(),EOMONTH(B19,0))))*DAY(EOMONTH(B19,0)))</x:f>
      </x:c>
      <x:c r="K19" s="32" t="str">
        <x:f>IF(F19="","",IF(I19&gt;=Settings!$B$13,"VƯỢT",IF(I19&gt;=Settings!$B$12,"CẢNH BÁO","BÌNH THƯỜNG")))</x:f>
      </x:c>
      <x:c r="L19" s="22"/>
    </x:row>
    <x:row r="20">
      <x:c r="A20" s="22"/>
      <x:c r="B20" s="38"/>
      <x:c r="C20" s="22"/>
      <x:c r="D20" s="22"/>
      <x:c r="E20" s="22"/>
      <x:c r="F20" s="24"/>
      <x:c r="G20" s="34" t="n">
        <x:f>SUMIFS(Transactions!$L:$L,Transactions!$I:$I,D20,Transactions!$D:$D,"EXPENSE",Transactions!$C:$C,"POSTED",Transactions!$B:$B,"&gt;="&amp;B20,Transactions!$B:$B,"&lt;"&amp;EDATE(B20,1))</x:f>
        <x:v>0</x:v>
      </x:c>
      <x:c r="H20" s="34" t="n">
        <x:f>F20-G20</x:f>
        <x:v>0</x:v>
      </x:c>
      <x:c r="I20" s="40" t="n">
        <x:f>IFERROR(G20/F20,0)</x:f>
        <x:v>0</x:v>
      </x:c>
      <x:c r="J20" s="34" t="str">
        <x:f>IF(B20="","",G20/MAX(1,DAY(MIN(TODAY(),EOMONTH(B20,0))))*DAY(EOMONTH(B20,0)))</x:f>
      </x:c>
      <x:c r="K20" s="32" t="str">
        <x:f>IF(F20="","",IF(I20&gt;=Settings!$B$13,"VƯỢT",IF(I20&gt;=Settings!$B$12,"CẢNH BÁO","BÌNH THƯỜNG")))</x:f>
      </x:c>
      <x:c r="L20" s="22"/>
    </x:row>
    <x:row r="21">
      <x:c r="A21" s="22"/>
      <x:c r="B21" s="38"/>
      <x:c r="C21" s="22"/>
      <x:c r="D21" s="22"/>
      <x:c r="E21" s="22"/>
      <x:c r="F21" s="24"/>
      <x:c r="G21" s="34" t="n">
        <x:f>SUMIFS(Transactions!$L:$L,Transactions!$I:$I,D21,Transactions!$D:$D,"EXPENSE",Transactions!$C:$C,"POSTED",Transactions!$B:$B,"&gt;="&amp;B21,Transactions!$B:$B,"&lt;"&amp;EDATE(B21,1))</x:f>
        <x:v>0</x:v>
      </x:c>
      <x:c r="H21" s="34" t="n">
        <x:f>F21-G21</x:f>
        <x:v>0</x:v>
      </x:c>
      <x:c r="I21" s="40" t="n">
        <x:f>IFERROR(G21/F21,0)</x:f>
        <x:v>0</x:v>
      </x:c>
      <x:c r="J21" s="34" t="str">
        <x:f>IF(B21="","",G21/MAX(1,DAY(MIN(TODAY(),EOMONTH(B21,0))))*DAY(EOMONTH(B21,0)))</x:f>
      </x:c>
      <x:c r="K21" s="32" t="str">
        <x:f>IF(F21="","",IF(I21&gt;=Settings!$B$13,"VƯỢT",IF(I21&gt;=Settings!$B$12,"CẢNH BÁO","BÌNH THƯỜNG")))</x:f>
      </x:c>
      <x:c r="L21" s="22"/>
    </x:row>
    <x:row r="22">
      <x:c r="A22" s="22"/>
      <x:c r="B22" s="38"/>
      <x:c r="C22" s="22"/>
      <x:c r="D22" s="22"/>
      <x:c r="E22" s="22"/>
      <x:c r="F22" s="24"/>
      <x:c r="G22" s="34" t="n">
        <x:f>SUMIFS(Transactions!$L:$L,Transactions!$I:$I,D22,Transactions!$D:$D,"EXPENSE",Transactions!$C:$C,"POSTED",Transactions!$B:$B,"&gt;="&amp;B22,Transactions!$B:$B,"&lt;"&amp;EDATE(B22,1))</x:f>
        <x:v>0</x:v>
      </x:c>
      <x:c r="H22" s="34" t="n">
        <x:f>F22-G22</x:f>
        <x:v>0</x:v>
      </x:c>
      <x:c r="I22" s="40" t="n">
        <x:f>IFERROR(G22/F22,0)</x:f>
        <x:v>0</x:v>
      </x:c>
      <x:c r="J22" s="34" t="str">
        <x:f>IF(B22="","",G22/MAX(1,DAY(MIN(TODAY(),EOMONTH(B22,0))))*DAY(EOMONTH(B22,0)))</x:f>
      </x:c>
      <x:c r="K22" s="32" t="str">
        <x:f>IF(F22="","",IF(I22&gt;=Settings!$B$13,"VƯỢT",IF(I22&gt;=Settings!$B$12,"CẢNH BÁO","BÌNH THƯỜNG")))</x:f>
      </x:c>
      <x:c r="L22" s="22"/>
    </x:row>
    <x:row r="23">
      <x:c r="A23" s="22"/>
      <x:c r="B23" s="38"/>
      <x:c r="C23" s="22"/>
      <x:c r="D23" s="22"/>
      <x:c r="E23" s="22"/>
      <x:c r="F23" s="24"/>
      <x:c r="G23" s="34" t="n">
        <x:f>SUMIFS(Transactions!$L:$L,Transactions!$I:$I,D23,Transactions!$D:$D,"EXPENSE",Transactions!$C:$C,"POSTED",Transactions!$B:$B,"&gt;="&amp;B23,Transactions!$B:$B,"&lt;"&amp;EDATE(B23,1))</x:f>
        <x:v>0</x:v>
      </x:c>
      <x:c r="H23" s="34" t="n">
        <x:f>F23-G23</x:f>
        <x:v>0</x:v>
      </x:c>
      <x:c r="I23" s="40" t="n">
        <x:f>IFERROR(G23/F23,0)</x:f>
        <x:v>0</x:v>
      </x:c>
      <x:c r="J23" s="34" t="str">
        <x:f>IF(B23="","",G23/MAX(1,DAY(MIN(TODAY(),EOMONTH(B23,0))))*DAY(EOMONTH(B23,0)))</x:f>
      </x:c>
      <x:c r="K23" s="32" t="str">
        <x:f>IF(F23="","",IF(I23&gt;=Settings!$B$13,"VƯỢT",IF(I23&gt;=Settings!$B$12,"CẢNH BÁO","BÌNH THƯỜNG")))</x:f>
      </x:c>
      <x:c r="L23" s="22"/>
    </x:row>
    <x:row r="24">
      <x:c r="A24" s="22"/>
      <x:c r="B24" s="38"/>
      <x:c r="C24" s="22"/>
      <x:c r="D24" s="22"/>
      <x:c r="E24" s="22"/>
      <x:c r="F24" s="24"/>
      <x:c r="G24" s="34" t="n">
        <x:f>SUMIFS(Transactions!$L:$L,Transactions!$I:$I,D24,Transactions!$D:$D,"EXPENSE",Transactions!$C:$C,"POSTED",Transactions!$B:$B,"&gt;="&amp;B24,Transactions!$B:$B,"&lt;"&amp;EDATE(B24,1))</x:f>
        <x:v>0</x:v>
      </x:c>
      <x:c r="H24" s="34" t="n">
        <x:f>F24-G24</x:f>
        <x:v>0</x:v>
      </x:c>
      <x:c r="I24" s="40" t="n">
        <x:f>IFERROR(G24/F24,0)</x:f>
        <x:v>0</x:v>
      </x:c>
      <x:c r="J24" s="34" t="str">
        <x:f>IF(B24="","",G24/MAX(1,DAY(MIN(TODAY(),EOMONTH(B24,0))))*DAY(EOMONTH(B24,0)))</x:f>
      </x:c>
      <x:c r="K24" s="32" t="str">
        <x:f>IF(F24="","",IF(I24&gt;=Settings!$B$13,"VƯỢT",IF(I24&gt;=Settings!$B$12,"CẢNH BÁO","BÌNH THƯỜNG")))</x:f>
      </x:c>
      <x:c r="L24" s="22"/>
    </x:row>
    <x:row r="25">
      <x:c r="A25" s="22"/>
      <x:c r="B25" s="38"/>
      <x:c r="C25" s="22"/>
      <x:c r="D25" s="22"/>
      <x:c r="E25" s="22"/>
      <x:c r="F25" s="24"/>
      <x:c r="G25" s="34" t="n">
        <x:f>SUMIFS(Transactions!$L:$L,Transactions!$I:$I,D25,Transactions!$D:$D,"EXPENSE",Transactions!$C:$C,"POSTED",Transactions!$B:$B,"&gt;="&amp;B25,Transactions!$B:$B,"&lt;"&amp;EDATE(B25,1))</x:f>
        <x:v>0</x:v>
      </x:c>
      <x:c r="H25" s="34" t="n">
        <x:f>F25-G25</x:f>
        <x:v>0</x:v>
      </x:c>
      <x:c r="I25" s="40" t="n">
        <x:f>IFERROR(G25/F25,0)</x:f>
        <x:v>0</x:v>
      </x:c>
      <x:c r="J25" s="34" t="str">
        <x:f>IF(B25="","",G25/MAX(1,DAY(MIN(TODAY(),EOMONTH(B25,0))))*DAY(EOMONTH(B25,0)))</x:f>
      </x:c>
      <x:c r="K25" s="32" t="str">
        <x:f>IF(F25="","",IF(I25&gt;=Settings!$B$13,"VƯỢT",IF(I25&gt;=Settings!$B$12,"CẢNH BÁO","BÌNH THƯỜNG")))</x:f>
      </x:c>
      <x:c r="L25" s="22"/>
    </x:row>
    <x:row r="26">
      <x:c r="A26" s="22"/>
      <x:c r="B26" s="38"/>
      <x:c r="C26" s="22"/>
      <x:c r="D26" s="22"/>
      <x:c r="E26" s="22"/>
      <x:c r="F26" s="24"/>
      <x:c r="G26" s="34" t="n">
        <x:f>SUMIFS(Transactions!$L:$L,Transactions!$I:$I,D26,Transactions!$D:$D,"EXPENSE",Transactions!$C:$C,"POSTED",Transactions!$B:$B,"&gt;="&amp;B26,Transactions!$B:$B,"&lt;"&amp;EDATE(B26,1))</x:f>
        <x:v>0</x:v>
      </x:c>
      <x:c r="H26" s="34" t="n">
        <x:f>F26-G26</x:f>
        <x:v>0</x:v>
      </x:c>
      <x:c r="I26" s="40" t="n">
        <x:f>IFERROR(G26/F26,0)</x:f>
        <x:v>0</x:v>
      </x:c>
      <x:c r="J26" s="34" t="str">
        <x:f>IF(B26="","",G26/MAX(1,DAY(MIN(TODAY(),EOMONTH(B26,0))))*DAY(EOMONTH(B26,0)))</x:f>
      </x:c>
      <x:c r="K26" s="32" t="str">
        <x:f>IF(F26="","",IF(I26&gt;=Settings!$B$13,"VƯỢT",IF(I26&gt;=Settings!$B$12,"CẢNH BÁO","BÌNH THƯỜNG")))</x:f>
      </x:c>
      <x:c r="L26" s="22"/>
    </x:row>
    <x:row r="27">
      <x:c r="A27" s="22"/>
      <x:c r="B27" s="38"/>
      <x:c r="C27" s="22"/>
      <x:c r="D27" s="22"/>
      <x:c r="E27" s="22"/>
      <x:c r="F27" s="24"/>
      <x:c r="G27" s="34" t="n">
        <x:f>SUMIFS(Transactions!$L:$L,Transactions!$I:$I,D27,Transactions!$D:$D,"EXPENSE",Transactions!$C:$C,"POSTED",Transactions!$B:$B,"&gt;="&amp;B27,Transactions!$B:$B,"&lt;"&amp;EDATE(B27,1))</x:f>
        <x:v>0</x:v>
      </x:c>
      <x:c r="H27" s="34" t="n">
        <x:f>F27-G27</x:f>
        <x:v>0</x:v>
      </x:c>
      <x:c r="I27" s="40" t="n">
        <x:f>IFERROR(G27/F27,0)</x:f>
        <x:v>0</x:v>
      </x:c>
      <x:c r="J27" s="34" t="str">
        <x:f>IF(B27="","",G27/MAX(1,DAY(MIN(TODAY(),EOMONTH(B27,0))))*DAY(EOMONTH(B27,0)))</x:f>
      </x:c>
      <x:c r="K27" s="32" t="str">
        <x:f>IF(F27="","",IF(I27&gt;=Settings!$B$13,"VƯỢT",IF(I27&gt;=Settings!$B$12,"CẢNH BÁO","BÌNH THƯỜNG")))</x:f>
      </x:c>
      <x:c r="L27" s="22"/>
    </x:row>
    <x:row r="28">
      <x:c r="A28" s="22"/>
      <x:c r="B28" s="38"/>
      <x:c r="C28" s="22"/>
      <x:c r="D28" s="22"/>
      <x:c r="E28" s="22"/>
      <x:c r="F28" s="24"/>
      <x:c r="G28" s="34" t="n">
        <x:f>SUMIFS(Transactions!$L:$L,Transactions!$I:$I,D28,Transactions!$D:$D,"EXPENSE",Transactions!$C:$C,"POSTED",Transactions!$B:$B,"&gt;="&amp;B28,Transactions!$B:$B,"&lt;"&amp;EDATE(B28,1))</x:f>
        <x:v>0</x:v>
      </x:c>
      <x:c r="H28" s="34" t="n">
        <x:f>F28-G28</x:f>
        <x:v>0</x:v>
      </x:c>
      <x:c r="I28" s="40" t="n">
        <x:f>IFERROR(G28/F28,0)</x:f>
        <x:v>0</x:v>
      </x:c>
      <x:c r="J28" s="34" t="str">
        <x:f>IF(B28="","",G28/MAX(1,DAY(MIN(TODAY(),EOMONTH(B28,0))))*DAY(EOMONTH(B28,0)))</x:f>
      </x:c>
      <x:c r="K28" s="32" t="str">
        <x:f>IF(F28="","",IF(I28&gt;=Settings!$B$13,"VƯỢT",IF(I28&gt;=Settings!$B$12,"CẢNH BÁO","BÌNH THƯỜNG")))</x:f>
      </x:c>
      <x:c r="L28" s="22"/>
    </x:row>
    <x:row r="29">
      <x:c r="A29" s="22"/>
      <x:c r="B29" s="38"/>
      <x:c r="C29" s="22"/>
      <x:c r="D29" s="22"/>
      <x:c r="E29" s="22"/>
      <x:c r="F29" s="24"/>
      <x:c r="G29" s="34" t="n">
        <x:f>SUMIFS(Transactions!$L:$L,Transactions!$I:$I,D29,Transactions!$D:$D,"EXPENSE",Transactions!$C:$C,"POSTED",Transactions!$B:$B,"&gt;="&amp;B29,Transactions!$B:$B,"&lt;"&amp;EDATE(B29,1))</x:f>
        <x:v>0</x:v>
      </x:c>
      <x:c r="H29" s="34" t="n">
        <x:f>F29-G29</x:f>
        <x:v>0</x:v>
      </x:c>
      <x:c r="I29" s="40" t="n">
        <x:f>IFERROR(G29/F29,0)</x:f>
        <x:v>0</x:v>
      </x:c>
      <x:c r="J29" s="34" t="str">
        <x:f>IF(B29="","",G29/MAX(1,DAY(MIN(TODAY(),EOMONTH(B29,0))))*DAY(EOMONTH(B29,0)))</x:f>
      </x:c>
      <x:c r="K29" s="32" t="str">
        <x:f>IF(F29="","",IF(I29&gt;=Settings!$B$13,"VƯỢT",IF(I29&gt;=Settings!$B$12,"CẢNH BÁO","BÌNH THƯỜNG")))</x:f>
      </x:c>
      <x:c r="L29" s="22"/>
    </x:row>
    <x:row r="30">
      <x:c r="A30" s="22"/>
      <x:c r="B30" s="38"/>
      <x:c r="C30" s="22"/>
      <x:c r="D30" s="22"/>
      <x:c r="E30" s="22"/>
      <x:c r="F30" s="24"/>
      <x:c r="G30" s="34" t="n">
        <x:f>SUMIFS(Transactions!$L:$L,Transactions!$I:$I,D30,Transactions!$D:$D,"EXPENSE",Transactions!$C:$C,"POSTED",Transactions!$B:$B,"&gt;="&amp;B30,Transactions!$B:$B,"&lt;"&amp;EDATE(B30,1))</x:f>
        <x:v>0</x:v>
      </x:c>
      <x:c r="H30" s="34" t="n">
        <x:f>F30-G30</x:f>
        <x:v>0</x:v>
      </x:c>
      <x:c r="I30" s="40" t="n">
        <x:f>IFERROR(G30/F30,0)</x:f>
        <x:v>0</x:v>
      </x:c>
      <x:c r="J30" s="34" t="str">
        <x:f>IF(B30="","",G30/MAX(1,DAY(MIN(TODAY(),EOMONTH(B30,0))))*DAY(EOMONTH(B30,0)))</x:f>
      </x:c>
      <x:c r="K30" s="32" t="str">
        <x:f>IF(F30="","",IF(I30&gt;=Settings!$B$13,"VƯỢT",IF(I30&gt;=Settings!$B$12,"CẢNH BÁO","BÌNH THƯỜNG")))</x:f>
      </x:c>
      <x:c r="L30" s="22"/>
    </x:row>
    <x:row r="31">
      <x:c r="A31" s="22"/>
      <x:c r="B31" s="38"/>
      <x:c r="C31" s="22"/>
      <x:c r="D31" s="22"/>
      <x:c r="E31" s="22"/>
      <x:c r="F31" s="24"/>
      <x:c r="G31" s="34" t="n">
        <x:f>SUMIFS(Transactions!$L:$L,Transactions!$I:$I,D31,Transactions!$D:$D,"EXPENSE",Transactions!$C:$C,"POSTED",Transactions!$B:$B,"&gt;="&amp;B31,Transactions!$B:$B,"&lt;"&amp;EDATE(B31,1))</x:f>
        <x:v>0</x:v>
      </x:c>
      <x:c r="H31" s="34" t="n">
        <x:f>F31-G31</x:f>
        <x:v>0</x:v>
      </x:c>
      <x:c r="I31" s="40" t="n">
        <x:f>IFERROR(G31/F31,0)</x:f>
        <x:v>0</x:v>
      </x:c>
      <x:c r="J31" s="34" t="str">
        <x:f>IF(B31="","",G31/MAX(1,DAY(MIN(TODAY(),EOMONTH(B31,0))))*DAY(EOMONTH(B31,0)))</x:f>
      </x:c>
      <x:c r="K31" s="32" t="str">
        <x:f>IF(F31="","",IF(I31&gt;=Settings!$B$13,"VƯỢT",IF(I31&gt;=Settings!$B$12,"CẢNH BÁO","BÌNH THƯỜNG")))</x:f>
      </x:c>
      <x:c r="L31" s="22"/>
    </x:row>
    <x:row r="32">
      <x:c r="A32" s="22"/>
      <x:c r="B32" s="38"/>
      <x:c r="C32" s="22"/>
      <x:c r="D32" s="22"/>
      <x:c r="E32" s="22"/>
      <x:c r="F32" s="24"/>
      <x:c r="G32" s="34" t="n">
        <x:f>SUMIFS(Transactions!$L:$L,Transactions!$I:$I,D32,Transactions!$D:$D,"EXPENSE",Transactions!$C:$C,"POSTED",Transactions!$B:$B,"&gt;="&amp;B32,Transactions!$B:$B,"&lt;"&amp;EDATE(B32,1))</x:f>
        <x:v>0</x:v>
      </x:c>
      <x:c r="H32" s="34" t="n">
        <x:f>F32-G32</x:f>
        <x:v>0</x:v>
      </x:c>
      <x:c r="I32" s="40" t="n">
        <x:f>IFERROR(G32/F32,0)</x:f>
        <x:v>0</x:v>
      </x:c>
      <x:c r="J32" s="34" t="str">
        <x:f>IF(B32="","",G32/MAX(1,DAY(MIN(TODAY(),EOMONTH(B32,0))))*DAY(EOMONTH(B32,0)))</x:f>
      </x:c>
      <x:c r="K32" s="32" t="str">
        <x:f>IF(F32="","",IF(I32&gt;=Settings!$B$13,"VƯỢT",IF(I32&gt;=Settings!$B$12,"CẢNH BÁO","BÌNH THƯỜNG")))</x:f>
      </x:c>
      <x:c r="L32" s="22"/>
    </x:row>
    <x:row r="33">
      <x:c r="A33" s="22"/>
      <x:c r="B33" s="38"/>
      <x:c r="C33" s="22"/>
      <x:c r="D33" s="22"/>
      <x:c r="E33" s="22"/>
      <x:c r="F33" s="24"/>
      <x:c r="G33" s="34" t="n">
        <x:f>SUMIFS(Transactions!$L:$L,Transactions!$I:$I,D33,Transactions!$D:$D,"EXPENSE",Transactions!$C:$C,"POSTED",Transactions!$B:$B,"&gt;="&amp;B33,Transactions!$B:$B,"&lt;"&amp;EDATE(B33,1))</x:f>
        <x:v>0</x:v>
      </x:c>
      <x:c r="H33" s="34" t="n">
        <x:f>F33-G33</x:f>
        <x:v>0</x:v>
      </x:c>
      <x:c r="I33" s="40" t="n">
        <x:f>IFERROR(G33/F33,0)</x:f>
        <x:v>0</x:v>
      </x:c>
      <x:c r="J33" s="34" t="str">
        <x:f>IF(B33="","",G33/MAX(1,DAY(MIN(TODAY(),EOMONTH(B33,0))))*DAY(EOMONTH(B33,0)))</x:f>
      </x:c>
      <x:c r="K33" s="32" t="str">
        <x:f>IF(F33="","",IF(I33&gt;=Settings!$B$13,"VƯỢT",IF(I33&gt;=Settings!$B$12,"CẢNH BÁO","BÌNH THƯỜNG")))</x:f>
      </x:c>
      <x:c r="L33" s="22"/>
    </x:row>
    <x:row r="34">
      <x:c r="A34" s="22"/>
      <x:c r="B34" s="38"/>
      <x:c r="C34" s="22"/>
      <x:c r="D34" s="22"/>
      <x:c r="E34" s="22"/>
      <x:c r="F34" s="24"/>
      <x:c r="G34" s="34" t="n">
        <x:f>SUMIFS(Transactions!$L:$L,Transactions!$I:$I,D34,Transactions!$D:$D,"EXPENSE",Transactions!$C:$C,"POSTED",Transactions!$B:$B,"&gt;="&amp;B34,Transactions!$B:$B,"&lt;"&amp;EDATE(B34,1))</x:f>
        <x:v>0</x:v>
      </x:c>
      <x:c r="H34" s="34" t="n">
        <x:f>F34-G34</x:f>
        <x:v>0</x:v>
      </x:c>
      <x:c r="I34" s="40" t="n">
        <x:f>IFERROR(G34/F34,0)</x:f>
        <x:v>0</x:v>
      </x:c>
      <x:c r="J34" s="34" t="str">
        <x:f>IF(B34="","",G34/MAX(1,DAY(MIN(TODAY(),EOMONTH(B34,0))))*DAY(EOMONTH(B34,0)))</x:f>
      </x:c>
      <x:c r="K34" s="32" t="str">
        <x:f>IF(F34="","",IF(I34&gt;=Settings!$B$13,"VƯỢT",IF(I34&gt;=Settings!$B$12,"CẢNH BÁO","BÌNH THƯỜNG")))</x:f>
      </x:c>
      <x:c r="L34" s="22"/>
    </x:row>
    <x:row r="35">
      <x:c r="A35" s="22"/>
      <x:c r="B35" s="38"/>
      <x:c r="C35" s="22"/>
      <x:c r="D35" s="22"/>
      <x:c r="E35" s="22"/>
      <x:c r="F35" s="24"/>
      <x:c r="G35" s="34" t="n">
        <x:f>SUMIFS(Transactions!$L:$L,Transactions!$I:$I,D35,Transactions!$D:$D,"EXPENSE",Transactions!$C:$C,"POSTED",Transactions!$B:$B,"&gt;="&amp;B35,Transactions!$B:$B,"&lt;"&amp;EDATE(B35,1))</x:f>
        <x:v>0</x:v>
      </x:c>
      <x:c r="H35" s="34" t="n">
        <x:f>F35-G35</x:f>
        <x:v>0</x:v>
      </x:c>
      <x:c r="I35" s="40" t="n">
        <x:f>IFERROR(G35/F35,0)</x:f>
        <x:v>0</x:v>
      </x:c>
      <x:c r="J35" s="34" t="str">
        <x:f>IF(B35="","",G35/MAX(1,DAY(MIN(TODAY(),EOMONTH(B35,0))))*DAY(EOMONTH(B35,0)))</x:f>
      </x:c>
      <x:c r="K35" s="32" t="str">
        <x:f>IF(F35="","",IF(I35&gt;=Settings!$B$13,"VƯỢT",IF(I35&gt;=Settings!$B$12,"CẢNH BÁO","BÌNH THƯỜNG")))</x:f>
      </x:c>
      <x:c r="L35" s="22"/>
    </x:row>
    <x:row r="36">
      <x:c r="A36" s="22"/>
      <x:c r="B36" s="38"/>
      <x:c r="C36" s="22"/>
      <x:c r="D36" s="22"/>
      <x:c r="E36" s="22"/>
      <x:c r="F36" s="24"/>
      <x:c r="G36" s="34" t="n">
        <x:f>SUMIFS(Transactions!$L:$L,Transactions!$I:$I,D36,Transactions!$D:$D,"EXPENSE",Transactions!$C:$C,"POSTED",Transactions!$B:$B,"&gt;="&amp;B36,Transactions!$B:$B,"&lt;"&amp;EDATE(B36,1))</x:f>
        <x:v>0</x:v>
      </x:c>
      <x:c r="H36" s="34" t="n">
        <x:f>F36-G36</x:f>
        <x:v>0</x:v>
      </x:c>
      <x:c r="I36" s="40" t="n">
        <x:f>IFERROR(G36/F36,0)</x:f>
        <x:v>0</x:v>
      </x:c>
      <x:c r="J36" s="34" t="str">
        <x:f>IF(B36="","",G36/MAX(1,DAY(MIN(TODAY(),EOMONTH(B36,0))))*DAY(EOMONTH(B36,0)))</x:f>
      </x:c>
      <x:c r="K36" s="32" t="str">
        <x:f>IF(F36="","",IF(I36&gt;=Settings!$B$13,"VƯỢT",IF(I36&gt;=Settings!$B$12,"CẢNH BÁO","BÌNH THƯỜNG")))</x:f>
      </x:c>
      <x:c r="L36" s="22"/>
    </x:row>
    <x:row r="37">
      <x:c r="A37" s="22"/>
      <x:c r="B37" s="38"/>
      <x:c r="C37" s="22"/>
      <x:c r="D37" s="22"/>
      <x:c r="E37" s="22"/>
      <x:c r="F37" s="24"/>
      <x:c r="G37" s="34" t="n">
        <x:f>SUMIFS(Transactions!$L:$L,Transactions!$I:$I,D37,Transactions!$D:$D,"EXPENSE",Transactions!$C:$C,"POSTED",Transactions!$B:$B,"&gt;="&amp;B37,Transactions!$B:$B,"&lt;"&amp;EDATE(B37,1))</x:f>
        <x:v>0</x:v>
      </x:c>
      <x:c r="H37" s="34" t="n">
        <x:f>F37-G37</x:f>
        <x:v>0</x:v>
      </x:c>
      <x:c r="I37" s="40" t="n">
        <x:f>IFERROR(G37/F37,0)</x:f>
        <x:v>0</x:v>
      </x:c>
      <x:c r="J37" s="34" t="str">
        <x:f>IF(B37="","",G37/MAX(1,DAY(MIN(TODAY(),EOMONTH(B37,0))))*DAY(EOMONTH(B37,0)))</x:f>
      </x:c>
      <x:c r="K37" s="32" t="str">
        <x:f>IF(F37="","",IF(I37&gt;=Settings!$B$13,"VƯỢT",IF(I37&gt;=Settings!$B$12,"CẢNH BÁO","BÌNH THƯỜNG")))</x:f>
      </x:c>
      <x:c r="L37" s="22"/>
    </x:row>
    <x:row r="38">
      <x:c r="A38" s="22"/>
      <x:c r="B38" s="38"/>
      <x:c r="C38" s="22"/>
      <x:c r="D38" s="22"/>
      <x:c r="E38" s="22"/>
      <x:c r="F38" s="24"/>
      <x:c r="G38" s="34" t="n">
        <x:f>SUMIFS(Transactions!$L:$L,Transactions!$I:$I,D38,Transactions!$D:$D,"EXPENSE",Transactions!$C:$C,"POSTED",Transactions!$B:$B,"&gt;="&amp;B38,Transactions!$B:$B,"&lt;"&amp;EDATE(B38,1))</x:f>
        <x:v>0</x:v>
      </x:c>
      <x:c r="H38" s="34" t="n">
        <x:f>F38-G38</x:f>
        <x:v>0</x:v>
      </x:c>
      <x:c r="I38" s="40" t="n">
        <x:f>IFERROR(G38/F38,0)</x:f>
        <x:v>0</x:v>
      </x:c>
      <x:c r="J38" s="34" t="str">
        <x:f>IF(B38="","",G38/MAX(1,DAY(MIN(TODAY(),EOMONTH(B38,0))))*DAY(EOMONTH(B38,0)))</x:f>
      </x:c>
      <x:c r="K38" s="32" t="str">
        <x:f>IF(F38="","",IF(I38&gt;=Settings!$B$13,"VƯỢT",IF(I38&gt;=Settings!$B$12,"CẢNH BÁO","BÌNH THƯỜNG")))</x:f>
      </x:c>
      <x:c r="L38" s="22"/>
    </x:row>
    <x:row r="39">
      <x:c r="A39" s="22"/>
      <x:c r="B39" s="38"/>
      <x:c r="C39" s="22"/>
      <x:c r="D39" s="22"/>
      <x:c r="E39" s="22"/>
      <x:c r="F39" s="24"/>
      <x:c r="G39" s="34" t="n">
        <x:f>SUMIFS(Transactions!$L:$L,Transactions!$I:$I,D39,Transactions!$D:$D,"EXPENSE",Transactions!$C:$C,"POSTED",Transactions!$B:$B,"&gt;="&amp;B39,Transactions!$B:$B,"&lt;"&amp;EDATE(B39,1))</x:f>
        <x:v>0</x:v>
      </x:c>
      <x:c r="H39" s="34" t="n">
        <x:f>F39-G39</x:f>
        <x:v>0</x:v>
      </x:c>
      <x:c r="I39" s="40" t="n">
        <x:f>IFERROR(G39/F39,0)</x:f>
        <x:v>0</x:v>
      </x:c>
      <x:c r="J39" s="34" t="str">
        <x:f>IF(B39="","",G39/MAX(1,DAY(MIN(TODAY(),EOMONTH(B39,0))))*DAY(EOMONTH(B39,0)))</x:f>
      </x:c>
      <x:c r="K39" s="32" t="str">
        <x:f>IF(F39="","",IF(I39&gt;=Settings!$B$13,"VƯỢT",IF(I39&gt;=Settings!$B$12,"CẢNH BÁO","BÌNH THƯỜNG")))</x:f>
      </x:c>
      <x:c r="L39" s="22"/>
    </x:row>
    <x:row r="40">
      <x:c r="A40" s="22"/>
      <x:c r="B40" s="38"/>
      <x:c r="C40" s="22"/>
      <x:c r="D40" s="22"/>
      <x:c r="E40" s="22"/>
      <x:c r="F40" s="24"/>
      <x:c r="G40" s="34" t="n">
        <x:f>SUMIFS(Transactions!$L:$L,Transactions!$I:$I,D40,Transactions!$D:$D,"EXPENSE",Transactions!$C:$C,"POSTED",Transactions!$B:$B,"&gt;="&amp;B40,Transactions!$B:$B,"&lt;"&amp;EDATE(B40,1))</x:f>
        <x:v>0</x:v>
      </x:c>
      <x:c r="H40" s="34" t="n">
        <x:f>F40-G40</x:f>
        <x:v>0</x:v>
      </x:c>
      <x:c r="I40" s="40" t="n">
        <x:f>IFERROR(G40/F40,0)</x:f>
        <x:v>0</x:v>
      </x:c>
      <x:c r="J40" s="34" t="str">
        <x:f>IF(B40="","",G40/MAX(1,DAY(MIN(TODAY(),EOMONTH(B40,0))))*DAY(EOMONTH(B40,0)))</x:f>
      </x:c>
      <x:c r="K40" s="32" t="str">
        <x:f>IF(F40="","",IF(I40&gt;=Settings!$B$13,"VƯỢT",IF(I40&gt;=Settings!$B$12,"CẢNH BÁO","BÌNH THƯỜNG")))</x:f>
      </x:c>
      <x:c r="L40" s="22"/>
    </x:row>
    <x:row r="41">
      <x:c r="A41" s="22"/>
      <x:c r="B41" s="38"/>
      <x:c r="C41" s="22"/>
      <x:c r="D41" s="22"/>
      <x:c r="E41" s="22"/>
      <x:c r="F41" s="24"/>
      <x:c r="G41" s="34" t="n">
        <x:f>SUMIFS(Transactions!$L:$L,Transactions!$I:$I,D41,Transactions!$D:$D,"EXPENSE",Transactions!$C:$C,"POSTED",Transactions!$B:$B,"&gt;="&amp;B41,Transactions!$B:$B,"&lt;"&amp;EDATE(B41,1))</x:f>
        <x:v>0</x:v>
      </x:c>
      <x:c r="H41" s="34" t="n">
        <x:f>F41-G41</x:f>
        <x:v>0</x:v>
      </x:c>
      <x:c r="I41" s="40" t="n">
        <x:f>IFERROR(G41/F41,0)</x:f>
        <x:v>0</x:v>
      </x:c>
      <x:c r="J41" s="34" t="str">
        <x:f>IF(B41="","",G41/MAX(1,DAY(MIN(TODAY(),EOMONTH(B41,0))))*DAY(EOMONTH(B41,0)))</x:f>
      </x:c>
      <x:c r="K41" s="32" t="str">
        <x:f>IF(F41="","",IF(I41&gt;=Settings!$B$13,"VƯỢT",IF(I41&gt;=Settings!$B$12,"CẢNH BÁO","BÌNH THƯỜNG")))</x:f>
      </x:c>
      <x:c r="L41" s="22"/>
    </x:row>
    <x:row r="42">
      <x:c r="A42" s="22"/>
      <x:c r="B42" s="38"/>
      <x:c r="C42" s="22"/>
      <x:c r="D42" s="22"/>
      <x:c r="E42" s="22"/>
      <x:c r="F42" s="24"/>
      <x:c r="G42" s="34" t="n">
        <x:f>SUMIFS(Transactions!$L:$L,Transactions!$I:$I,D42,Transactions!$D:$D,"EXPENSE",Transactions!$C:$C,"POSTED",Transactions!$B:$B,"&gt;="&amp;B42,Transactions!$B:$B,"&lt;"&amp;EDATE(B42,1))</x:f>
        <x:v>0</x:v>
      </x:c>
      <x:c r="H42" s="34" t="n">
        <x:f>F42-G42</x:f>
        <x:v>0</x:v>
      </x:c>
      <x:c r="I42" s="40" t="n">
        <x:f>IFERROR(G42/F42,0)</x:f>
        <x:v>0</x:v>
      </x:c>
      <x:c r="J42" s="34" t="str">
        <x:f>IF(B42="","",G42/MAX(1,DAY(MIN(TODAY(),EOMONTH(B42,0))))*DAY(EOMONTH(B42,0)))</x:f>
      </x:c>
      <x:c r="K42" s="32" t="str">
        <x:f>IF(F42="","",IF(I42&gt;=Settings!$B$13,"VƯỢT",IF(I42&gt;=Settings!$B$12,"CẢNH BÁO","BÌNH THƯỜNG")))</x:f>
      </x:c>
      <x:c r="L42" s="22"/>
    </x:row>
    <x:row r="43">
      <x:c r="A43" s="22"/>
      <x:c r="B43" s="38"/>
      <x:c r="C43" s="22"/>
      <x:c r="D43" s="22"/>
      <x:c r="E43" s="22"/>
      <x:c r="F43" s="24"/>
      <x:c r="G43" s="34" t="n">
        <x:f>SUMIFS(Transactions!$L:$L,Transactions!$I:$I,D43,Transactions!$D:$D,"EXPENSE",Transactions!$C:$C,"POSTED",Transactions!$B:$B,"&gt;="&amp;B43,Transactions!$B:$B,"&lt;"&amp;EDATE(B43,1))</x:f>
        <x:v>0</x:v>
      </x:c>
      <x:c r="H43" s="34" t="n">
        <x:f>F43-G43</x:f>
        <x:v>0</x:v>
      </x:c>
      <x:c r="I43" s="40" t="n">
        <x:f>IFERROR(G43/F43,0)</x:f>
        <x:v>0</x:v>
      </x:c>
      <x:c r="J43" s="34" t="str">
        <x:f>IF(B43="","",G43/MAX(1,DAY(MIN(TODAY(),EOMONTH(B43,0))))*DAY(EOMONTH(B43,0)))</x:f>
      </x:c>
      <x:c r="K43" s="32" t="str">
        <x:f>IF(F43="","",IF(I43&gt;=Settings!$B$13,"VƯỢT",IF(I43&gt;=Settings!$B$12,"CẢNH BÁO","BÌNH THƯỜNG")))</x:f>
      </x:c>
      <x:c r="L43" s="22"/>
    </x:row>
    <x:row r="44">
      <x:c r="A44" s="22"/>
      <x:c r="B44" s="38"/>
      <x:c r="C44" s="22"/>
      <x:c r="D44" s="22"/>
      <x:c r="E44" s="22"/>
      <x:c r="F44" s="24"/>
      <x:c r="G44" s="34" t="n">
        <x:f>SUMIFS(Transactions!$L:$L,Transactions!$I:$I,D44,Transactions!$D:$D,"EXPENSE",Transactions!$C:$C,"POSTED",Transactions!$B:$B,"&gt;="&amp;B44,Transactions!$B:$B,"&lt;"&amp;EDATE(B44,1))</x:f>
        <x:v>0</x:v>
      </x:c>
      <x:c r="H44" s="34" t="n">
        <x:f>F44-G44</x:f>
        <x:v>0</x:v>
      </x:c>
      <x:c r="I44" s="40" t="n">
        <x:f>IFERROR(G44/F44,0)</x:f>
        <x:v>0</x:v>
      </x:c>
      <x:c r="J44" s="34" t="str">
        <x:f>IF(B44="","",G44/MAX(1,DAY(MIN(TODAY(),EOMONTH(B44,0))))*DAY(EOMONTH(B44,0)))</x:f>
      </x:c>
      <x:c r="K44" s="32" t="str">
        <x:f>IF(F44="","",IF(I44&gt;=Settings!$B$13,"VƯỢT",IF(I44&gt;=Settings!$B$12,"CẢNH BÁO","BÌNH THƯỜNG")))</x:f>
      </x:c>
      <x:c r="L44" s="22"/>
    </x:row>
    <x:row r="45">
      <x:c r="A45" s="22"/>
      <x:c r="B45" s="38"/>
      <x:c r="C45" s="22"/>
      <x:c r="D45" s="22"/>
      <x:c r="E45" s="22"/>
      <x:c r="F45" s="24"/>
      <x:c r="G45" s="34" t="n">
        <x:f>SUMIFS(Transactions!$L:$L,Transactions!$I:$I,D45,Transactions!$D:$D,"EXPENSE",Transactions!$C:$C,"POSTED",Transactions!$B:$B,"&gt;="&amp;B45,Transactions!$B:$B,"&lt;"&amp;EDATE(B45,1))</x:f>
        <x:v>0</x:v>
      </x:c>
      <x:c r="H45" s="34" t="n">
        <x:f>F45-G45</x:f>
        <x:v>0</x:v>
      </x:c>
      <x:c r="I45" s="40" t="n">
        <x:f>IFERROR(G45/F45,0)</x:f>
        <x:v>0</x:v>
      </x:c>
      <x:c r="J45" s="34" t="str">
        <x:f>IF(B45="","",G45/MAX(1,DAY(MIN(TODAY(),EOMONTH(B45,0))))*DAY(EOMONTH(B45,0)))</x:f>
      </x:c>
      <x:c r="K45" s="32" t="str">
        <x:f>IF(F45="","",IF(I45&gt;=Settings!$B$13,"VƯỢT",IF(I45&gt;=Settings!$B$12,"CẢNH BÁO","BÌNH THƯỜNG")))</x:f>
      </x:c>
      <x:c r="L45" s="22"/>
    </x:row>
    <x:row r="46">
      <x:c r="A46" s="22"/>
      <x:c r="B46" s="38"/>
      <x:c r="C46" s="22"/>
      <x:c r="D46" s="22"/>
      <x:c r="E46" s="22"/>
      <x:c r="F46" s="24"/>
      <x:c r="G46" s="34" t="n">
        <x:f>SUMIFS(Transactions!$L:$L,Transactions!$I:$I,D46,Transactions!$D:$D,"EXPENSE",Transactions!$C:$C,"POSTED",Transactions!$B:$B,"&gt;="&amp;B46,Transactions!$B:$B,"&lt;"&amp;EDATE(B46,1))</x:f>
        <x:v>0</x:v>
      </x:c>
      <x:c r="H46" s="34" t="n">
        <x:f>F46-G46</x:f>
        <x:v>0</x:v>
      </x:c>
      <x:c r="I46" s="40" t="n">
        <x:f>IFERROR(G46/F46,0)</x:f>
        <x:v>0</x:v>
      </x:c>
      <x:c r="J46" s="34" t="str">
        <x:f>IF(B46="","",G46/MAX(1,DAY(MIN(TODAY(),EOMONTH(B46,0))))*DAY(EOMONTH(B46,0)))</x:f>
      </x:c>
      <x:c r="K46" s="32" t="str">
        <x:f>IF(F46="","",IF(I46&gt;=Settings!$B$13,"VƯỢT",IF(I46&gt;=Settings!$B$12,"CẢNH BÁO","BÌNH THƯỜNG")))</x:f>
      </x:c>
      <x:c r="L46" s="22"/>
    </x:row>
    <x:row r="47">
      <x:c r="A47" s="22"/>
      <x:c r="B47" s="38"/>
      <x:c r="C47" s="22"/>
      <x:c r="D47" s="22"/>
      <x:c r="E47" s="22"/>
      <x:c r="F47" s="24"/>
      <x:c r="G47" s="34" t="n">
        <x:f>SUMIFS(Transactions!$L:$L,Transactions!$I:$I,D47,Transactions!$D:$D,"EXPENSE",Transactions!$C:$C,"POSTED",Transactions!$B:$B,"&gt;="&amp;B47,Transactions!$B:$B,"&lt;"&amp;EDATE(B47,1))</x:f>
        <x:v>0</x:v>
      </x:c>
      <x:c r="H47" s="34" t="n">
        <x:f>F47-G47</x:f>
        <x:v>0</x:v>
      </x:c>
      <x:c r="I47" s="40" t="n">
        <x:f>IFERROR(G47/F47,0)</x:f>
        <x:v>0</x:v>
      </x:c>
      <x:c r="J47" s="34" t="str">
        <x:f>IF(B47="","",G47/MAX(1,DAY(MIN(TODAY(),EOMONTH(B47,0))))*DAY(EOMONTH(B47,0)))</x:f>
      </x:c>
      <x:c r="K47" s="32" t="str">
        <x:f>IF(F47="","",IF(I47&gt;=Settings!$B$13,"VƯỢT",IF(I47&gt;=Settings!$B$12,"CẢNH BÁO","BÌNH THƯỜNG")))</x:f>
      </x:c>
      <x:c r="L47" s="22"/>
    </x:row>
    <x:row r="48">
      <x:c r="A48" s="22"/>
      <x:c r="B48" s="38"/>
      <x:c r="C48" s="22"/>
      <x:c r="D48" s="22"/>
      <x:c r="E48" s="22"/>
      <x:c r="F48" s="24"/>
      <x:c r="G48" s="34" t="n">
        <x:f>SUMIFS(Transactions!$L:$L,Transactions!$I:$I,D48,Transactions!$D:$D,"EXPENSE",Transactions!$C:$C,"POSTED",Transactions!$B:$B,"&gt;="&amp;B48,Transactions!$B:$B,"&lt;"&amp;EDATE(B48,1))</x:f>
        <x:v>0</x:v>
      </x:c>
      <x:c r="H48" s="34" t="n">
        <x:f>F48-G48</x:f>
        <x:v>0</x:v>
      </x:c>
      <x:c r="I48" s="40" t="n">
        <x:f>IFERROR(G48/F48,0)</x:f>
        <x:v>0</x:v>
      </x:c>
      <x:c r="J48" s="34" t="str">
        <x:f>IF(B48="","",G48/MAX(1,DAY(MIN(TODAY(),EOMONTH(B48,0))))*DAY(EOMONTH(B48,0)))</x:f>
      </x:c>
      <x:c r="K48" s="32" t="str">
        <x:f>IF(F48="","",IF(I48&gt;=Settings!$B$13,"VƯỢT",IF(I48&gt;=Settings!$B$12,"CẢNH BÁO","BÌNH THƯỜNG")))</x:f>
      </x:c>
      <x:c r="L48" s="22"/>
    </x:row>
    <x:row r="49">
      <x:c r="A49" s="22"/>
      <x:c r="B49" s="38"/>
      <x:c r="C49" s="22"/>
      <x:c r="D49" s="22"/>
      <x:c r="E49" s="22"/>
      <x:c r="F49" s="24"/>
      <x:c r="G49" s="34" t="n">
        <x:f>SUMIFS(Transactions!$L:$L,Transactions!$I:$I,D49,Transactions!$D:$D,"EXPENSE",Transactions!$C:$C,"POSTED",Transactions!$B:$B,"&gt;="&amp;B49,Transactions!$B:$B,"&lt;"&amp;EDATE(B49,1))</x:f>
        <x:v>0</x:v>
      </x:c>
      <x:c r="H49" s="34" t="n">
        <x:f>F49-G49</x:f>
        <x:v>0</x:v>
      </x:c>
      <x:c r="I49" s="40" t="n">
        <x:f>IFERROR(G49/F49,0)</x:f>
        <x:v>0</x:v>
      </x:c>
      <x:c r="J49" s="34" t="str">
        <x:f>IF(B49="","",G49/MAX(1,DAY(MIN(TODAY(),EOMONTH(B49,0))))*DAY(EOMONTH(B49,0)))</x:f>
      </x:c>
      <x:c r="K49" s="32" t="str">
        <x:f>IF(F49="","",IF(I49&gt;=Settings!$B$13,"VƯỢT",IF(I49&gt;=Settings!$B$12,"CẢNH BÁO","BÌNH THƯỜNG")))</x:f>
      </x:c>
      <x:c r="L49" s="22"/>
    </x:row>
    <x:row r="50">
      <x:c r="A50" s="22"/>
      <x:c r="B50" s="38"/>
      <x:c r="C50" s="22"/>
      <x:c r="D50" s="22"/>
      <x:c r="E50" s="22"/>
      <x:c r="F50" s="24"/>
      <x:c r="G50" s="34" t="n">
        <x:f>SUMIFS(Transactions!$L:$L,Transactions!$I:$I,D50,Transactions!$D:$D,"EXPENSE",Transactions!$C:$C,"POSTED",Transactions!$B:$B,"&gt;="&amp;B50,Transactions!$B:$B,"&lt;"&amp;EDATE(B50,1))</x:f>
        <x:v>0</x:v>
      </x:c>
      <x:c r="H50" s="34" t="n">
        <x:f>F50-G50</x:f>
        <x:v>0</x:v>
      </x:c>
      <x:c r="I50" s="40" t="n">
        <x:f>IFERROR(G50/F50,0)</x:f>
        <x:v>0</x:v>
      </x:c>
      <x:c r="J50" s="34" t="str">
        <x:f>IF(B50="","",G50/MAX(1,DAY(MIN(TODAY(),EOMONTH(B50,0))))*DAY(EOMONTH(B50,0)))</x:f>
      </x:c>
      <x:c r="K50" s="32" t="str">
        <x:f>IF(F50="","",IF(I50&gt;=Settings!$B$13,"VƯỢT",IF(I50&gt;=Settings!$B$12,"CẢNH BÁO","BÌNH THƯỜNG")))</x:f>
      </x:c>
      <x:c r="L50" s="22"/>
    </x:row>
    <x:row r="51">
      <x:c r="A51" s="22"/>
      <x:c r="B51" s="38"/>
      <x:c r="C51" s="22"/>
      <x:c r="D51" s="22"/>
      <x:c r="E51" s="22"/>
      <x:c r="F51" s="24"/>
      <x:c r="G51" s="34" t="n">
        <x:f>SUMIFS(Transactions!$L:$L,Transactions!$I:$I,D51,Transactions!$D:$D,"EXPENSE",Transactions!$C:$C,"POSTED",Transactions!$B:$B,"&gt;="&amp;B51,Transactions!$B:$B,"&lt;"&amp;EDATE(B51,1))</x:f>
        <x:v>0</x:v>
      </x:c>
      <x:c r="H51" s="34" t="n">
        <x:f>F51-G51</x:f>
        <x:v>0</x:v>
      </x:c>
      <x:c r="I51" s="40" t="n">
        <x:f>IFERROR(G51/F51,0)</x:f>
        <x:v>0</x:v>
      </x:c>
      <x:c r="J51" s="34" t="str">
        <x:f>IF(B51="","",G51/MAX(1,DAY(MIN(TODAY(),EOMONTH(B51,0))))*DAY(EOMONTH(B51,0)))</x:f>
      </x:c>
      <x:c r="K51" s="32" t="str">
        <x:f>IF(F51="","",IF(I51&gt;=Settings!$B$13,"VƯỢT",IF(I51&gt;=Settings!$B$12,"CẢNH BÁO","BÌNH THƯỜNG")))</x:f>
      </x:c>
      <x:c r="L51" s="22"/>
    </x:row>
    <x:row r="52">
      <x:c r="A52" s="22"/>
      <x:c r="B52" s="38"/>
      <x:c r="C52" s="22"/>
      <x:c r="D52" s="22"/>
      <x:c r="E52" s="22"/>
      <x:c r="F52" s="24"/>
      <x:c r="G52" s="34" t="n">
        <x:f>SUMIFS(Transactions!$L:$L,Transactions!$I:$I,D52,Transactions!$D:$D,"EXPENSE",Transactions!$C:$C,"POSTED",Transactions!$B:$B,"&gt;="&amp;B52,Transactions!$B:$B,"&lt;"&amp;EDATE(B52,1))</x:f>
        <x:v>0</x:v>
      </x:c>
      <x:c r="H52" s="34" t="n">
        <x:f>F52-G52</x:f>
        <x:v>0</x:v>
      </x:c>
      <x:c r="I52" s="40" t="n">
        <x:f>IFERROR(G52/F52,0)</x:f>
        <x:v>0</x:v>
      </x:c>
      <x:c r="J52" s="34" t="str">
        <x:f>IF(B52="","",G52/MAX(1,DAY(MIN(TODAY(),EOMONTH(B52,0))))*DAY(EOMONTH(B52,0)))</x:f>
      </x:c>
      <x:c r="K52" s="32" t="str">
        <x:f>IF(F52="","",IF(I52&gt;=Settings!$B$13,"VƯỢT",IF(I52&gt;=Settings!$B$12,"CẢNH BÁO","BÌNH THƯỜNG")))</x:f>
      </x:c>
      <x:c r="L52" s="22"/>
    </x:row>
    <x:row r="53">
      <x:c r="A53" s="22"/>
      <x:c r="B53" s="38"/>
      <x:c r="C53" s="22"/>
      <x:c r="D53" s="22"/>
      <x:c r="E53" s="22"/>
      <x:c r="F53" s="24"/>
      <x:c r="G53" s="34" t="n">
        <x:f>SUMIFS(Transactions!$L:$L,Transactions!$I:$I,D53,Transactions!$D:$D,"EXPENSE",Transactions!$C:$C,"POSTED",Transactions!$B:$B,"&gt;="&amp;B53,Transactions!$B:$B,"&lt;"&amp;EDATE(B53,1))</x:f>
        <x:v>0</x:v>
      </x:c>
      <x:c r="H53" s="34" t="n">
        <x:f>F53-G53</x:f>
        <x:v>0</x:v>
      </x:c>
      <x:c r="I53" s="40" t="n">
        <x:f>IFERROR(G53/F53,0)</x:f>
        <x:v>0</x:v>
      </x:c>
      <x:c r="J53" s="34" t="str">
        <x:f>IF(B53="","",G53/MAX(1,DAY(MIN(TODAY(),EOMONTH(B53,0))))*DAY(EOMONTH(B53,0)))</x:f>
      </x:c>
      <x:c r="K53" s="32" t="str">
        <x:f>IF(F53="","",IF(I53&gt;=Settings!$B$13,"VƯỢT",IF(I53&gt;=Settings!$B$12,"CẢNH BÁO","BÌNH THƯỜNG")))</x:f>
      </x:c>
      <x:c r="L53" s="22"/>
    </x:row>
    <x:row r="54">
      <x:c r="A54" s="22"/>
      <x:c r="B54" s="38"/>
      <x:c r="C54" s="22"/>
      <x:c r="D54" s="22"/>
      <x:c r="E54" s="22"/>
      <x:c r="F54" s="24"/>
      <x:c r="G54" s="34" t="n">
        <x:f>SUMIFS(Transactions!$L:$L,Transactions!$I:$I,D54,Transactions!$D:$D,"EXPENSE",Transactions!$C:$C,"POSTED",Transactions!$B:$B,"&gt;="&amp;B54,Transactions!$B:$B,"&lt;"&amp;EDATE(B54,1))</x:f>
        <x:v>0</x:v>
      </x:c>
      <x:c r="H54" s="34" t="n">
        <x:f>F54-G54</x:f>
        <x:v>0</x:v>
      </x:c>
      <x:c r="I54" s="40" t="n">
        <x:f>IFERROR(G54/F54,0)</x:f>
        <x:v>0</x:v>
      </x:c>
      <x:c r="J54" s="34" t="str">
        <x:f>IF(B54="","",G54/MAX(1,DAY(MIN(TODAY(),EOMONTH(B54,0))))*DAY(EOMONTH(B54,0)))</x:f>
      </x:c>
      <x:c r="K54" s="32" t="str">
        <x:f>IF(F54="","",IF(I54&gt;=Settings!$B$13,"VƯỢT",IF(I54&gt;=Settings!$B$12,"CẢNH BÁO","BÌNH THƯỜNG")))</x:f>
      </x:c>
      <x:c r="L54" s="22"/>
    </x:row>
    <x:row r="55">
      <x:c r="A55" s="22"/>
      <x:c r="B55" s="38"/>
      <x:c r="C55" s="22"/>
      <x:c r="D55" s="22"/>
      <x:c r="E55" s="22"/>
      <x:c r="F55" s="24"/>
      <x:c r="G55" s="34" t="n">
        <x:f>SUMIFS(Transactions!$L:$L,Transactions!$I:$I,D55,Transactions!$D:$D,"EXPENSE",Transactions!$C:$C,"POSTED",Transactions!$B:$B,"&gt;="&amp;B55,Transactions!$B:$B,"&lt;"&amp;EDATE(B55,1))</x:f>
        <x:v>0</x:v>
      </x:c>
      <x:c r="H55" s="34" t="n">
        <x:f>F55-G55</x:f>
        <x:v>0</x:v>
      </x:c>
      <x:c r="I55" s="40" t="n">
        <x:f>IFERROR(G55/F55,0)</x:f>
        <x:v>0</x:v>
      </x:c>
      <x:c r="J55" s="34" t="str">
        <x:f>IF(B55="","",G55/MAX(1,DAY(MIN(TODAY(),EOMONTH(B55,0))))*DAY(EOMONTH(B55,0)))</x:f>
      </x:c>
      <x:c r="K55" s="32" t="str">
        <x:f>IF(F55="","",IF(I55&gt;=Settings!$B$13,"VƯỢT",IF(I55&gt;=Settings!$B$12,"CẢNH BÁO","BÌNH THƯỜNG")))</x:f>
      </x:c>
      <x:c r="L55" s="22"/>
    </x:row>
    <x:row r="56">
      <x:c r="A56" s="22"/>
      <x:c r="B56" s="38"/>
      <x:c r="C56" s="22"/>
      <x:c r="D56" s="22"/>
      <x:c r="E56" s="22"/>
      <x:c r="F56" s="24"/>
      <x:c r="G56" s="34" t="n">
        <x:f>SUMIFS(Transactions!$L:$L,Transactions!$I:$I,D56,Transactions!$D:$D,"EXPENSE",Transactions!$C:$C,"POSTED",Transactions!$B:$B,"&gt;="&amp;B56,Transactions!$B:$B,"&lt;"&amp;EDATE(B56,1))</x:f>
        <x:v>0</x:v>
      </x:c>
      <x:c r="H56" s="34" t="n">
        <x:f>F56-G56</x:f>
        <x:v>0</x:v>
      </x:c>
      <x:c r="I56" s="40" t="n">
        <x:f>IFERROR(G56/F56,0)</x:f>
        <x:v>0</x:v>
      </x:c>
      <x:c r="J56" s="34" t="str">
        <x:f>IF(B56="","",G56/MAX(1,DAY(MIN(TODAY(),EOMONTH(B56,0))))*DAY(EOMONTH(B56,0)))</x:f>
      </x:c>
      <x:c r="K56" s="32" t="str">
        <x:f>IF(F56="","",IF(I56&gt;=Settings!$B$13,"VƯỢT",IF(I56&gt;=Settings!$B$12,"CẢNH BÁO","BÌNH THƯỜNG")))</x:f>
      </x:c>
      <x:c r="L56" s="22"/>
    </x:row>
    <x:row r="57">
      <x:c r="A57" s="22"/>
      <x:c r="B57" s="38"/>
      <x:c r="C57" s="22"/>
      <x:c r="D57" s="22"/>
      <x:c r="E57" s="22"/>
      <x:c r="F57" s="24"/>
      <x:c r="G57" s="34" t="n">
        <x:f>SUMIFS(Transactions!$L:$L,Transactions!$I:$I,D57,Transactions!$D:$D,"EXPENSE",Transactions!$C:$C,"POSTED",Transactions!$B:$B,"&gt;="&amp;B57,Transactions!$B:$B,"&lt;"&amp;EDATE(B57,1))</x:f>
        <x:v>0</x:v>
      </x:c>
      <x:c r="H57" s="34" t="n">
        <x:f>F57-G57</x:f>
        <x:v>0</x:v>
      </x:c>
      <x:c r="I57" s="40" t="n">
        <x:f>IFERROR(G57/F57,0)</x:f>
        <x:v>0</x:v>
      </x:c>
      <x:c r="J57" s="34" t="str">
        <x:f>IF(B57="","",G57/MAX(1,DAY(MIN(TODAY(),EOMONTH(B57,0))))*DAY(EOMONTH(B57,0)))</x:f>
      </x:c>
      <x:c r="K57" s="32" t="str">
        <x:f>IF(F57="","",IF(I57&gt;=Settings!$B$13,"VƯỢT",IF(I57&gt;=Settings!$B$12,"CẢNH BÁO","BÌNH THƯỜNG")))</x:f>
      </x:c>
      <x:c r="L57" s="22"/>
    </x:row>
    <x:row r="58">
      <x:c r="A58" s="22"/>
      <x:c r="B58" s="38"/>
      <x:c r="C58" s="22"/>
      <x:c r="D58" s="22"/>
      <x:c r="E58" s="22"/>
      <x:c r="F58" s="24"/>
      <x:c r="G58" s="34" t="n">
        <x:f>SUMIFS(Transactions!$L:$L,Transactions!$I:$I,D58,Transactions!$D:$D,"EXPENSE",Transactions!$C:$C,"POSTED",Transactions!$B:$B,"&gt;="&amp;B58,Transactions!$B:$B,"&lt;"&amp;EDATE(B58,1))</x:f>
        <x:v>0</x:v>
      </x:c>
      <x:c r="H58" s="34" t="n">
        <x:f>F58-G58</x:f>
        <x:v>0</x:v>
      </x:c>
      <x:c r="I58" s="40" t="n">
        <x:f>IFERROR(G58/F58,0)</x:f>
        <x:v>0</x:v>
      </x:c>
      <x:c r="J58" s="34" t="str">
        <x:f>IF(B58="","",G58/MAX(1,DAY(MIN(TODAY(),EOMONTH(B58,0))))*DAY(EOMONTH(B58,0)))</x:f>
      </x:c>
      <x:c r="K58" s="32" t="str">
        <x:f>IF(F58="","",IF(I58&gt;=Settings!$B$13,"VƯỢT",IF(I58&gt;=Settings!$B$12,"CẢNH BÁO","BÌNH THƯỜNG")))</x:f>
      </x:c>
      <x:c r="L58" s="22"/>
    </x:row>
    <x:row r="59">
      <x:c r="A59" s="22"/>
      <x:c r="B59" s="38"/>
      <x:c r="C59" s="22"/>
      <x:c r="D59" s="22"/>
      <x:c r="E59" s="22"/>
      <x:c r="F59" s="24"/>
      <x:c r="G59" s="34" t="n">
        <x:f>SUMIFS(Transactions!$L:$L,Transactions!$I:$I,D59,Transactions!$D:$D,"EXPENSE",Transactions!$C:$C,"POSTED",Transactions!$B:$B,"&gt;="&amp;B59,Transactions!$B:$B,"&lt;"&amp;EDATE(B59,1))</x:f>
        <x:v>0</x:v>
      </x:c>
      <x:c r="H59" s="34" t="n">
        <x:f>F59-G59</x:f>
        <x:v>0</x:v>
      </x:c>
      <x:c r="I59" s="40" t="n">
        <x:f>IFERROR(G59/F59,0)</x:f>
        <x:v>0</x:v>
      </x:c>
      <x:c r="J59" s="34" t="str">
        <x:f>IF(B59="","",G59/MAX(1,DAY(MIN(TODAY(),EOMONTH(B59,0))))*DAY(EOMONTH(B59,0)))</x:f>
      </x:c>
      <x:c r="K59" s="32" t="str">
        <x:f>IF(F59="","",IF(I59&gt;=Settings!$B$13,"VƯỢT",IF(I59&gt;=Settings!$B$12,"CẢNH BÁO","BÌNH THƯỜNG")))</x:f>
      </x:c>
      <x:c r="L59" s="22"/>
    </x:row>
    <x:row r="60">
      <x:c r="A60" s="22"/>
      <x:c r="B60" s="38"/>
      <x:c r="C60" s="22"/>
      <x:c r="D60" s="22"/>
      <x:c r="E60" s="22"/>
      <x:c r="F60" s="24"/>
      <x:c r="G60" s="34" t="n">
        <x:f>SUMIFS(Transactions!$L:$L,Transactions!$I:$I,D60,Transactions!$D:$D,"EXPENSE",Transactions!$C:$C,"POSTED",Transactions!$B:$B,"&gt;="&amp;B60,Transactions!$B:$B,"&lt;"&amp;EDATE(B60,1))</x:f>
        <x:v>0</x:v>
      </x:c>
      <x:c r="H60" s="34" t="n">
        <x:f>F60-G60</x:f>
        <x:v>0</x:v>
      </x:c>
      <x:c r="I60" s="40" t="n">
        <x:f>IFERROR(G60/F60,0)</x:f>
        <x:v>0</x:v>
      </x:c>
      <x:c r="J60" s="34" t="str">
        <x:f>IF(B60="","",G60/MAX(1,DAY(MIN(TODAY(),EOMONTH(B60,0))))*DAY(EOMONTH(B60,0)))</x:f>
      </x:c>
      <x:c r="K60" s="32" t="str">
        <x:f>IF(F60="","",IF(I60&gt;=Settings!$B$13,"VƯỢT",IF(I60&gt;=Settings!$B$12,"CẢNH BÁO","BÌNH THƯỜNG")))</x:f>
      </x:c>
      <x:c r="L60" s="22"/>
    </x:row>
    <x:row r="61">
      <x:c r="A61" s="22"/>
      <x:c r="B61" s="38"/>
      <x:c r="C61" s="22"/>
      <x:c r="D61" s="22"/>
      <x:c r="E61" s="22"/>
      <x:c r="F61" s="24"/>
      <x:c r="G61" s="34" t="n">
        <x:f>SUMIFS(Transactions!$L:$L,Transactions!$I:$I,D61,Transactions!$D:$D,"EXPENSE",Transactions!$C:$C,"POSTED",Transactions!$B:$B,"&gt;="&amp;B61,Transactions!$B:$B,"&lt;"&amp;EDATE(B61,1))</x:f>
        <x:v>0</x:v>
      </x:c>
      <x:c r="H61" s="34" t="n">
        <x:f>F61-G61</x:f>
        <x:v>0</x:v>
      </x:c>
      <x:c r="I61" s="40" t="n">
        <x:f>IFERROR(G61/F61,0)</x:f>
        <x:v>0</x:v>
      </x:c>
      <x:c r="J61" s="34" t="str">
        <x:f>IF(B61="","",G61/MAX(1,DAY(MIN(TODAY(),EOMONTH(B61,0))))*DAY(EOMONTH(B61,0)))</x:f>
      </x:c>
      <x:c r="K61" s="32" t="str">
        <x:f>IF(F61="","",IF(I61&gt;=Settings!$B$13,"VƯỢT",IF(I61&gt;=Settings!$B$12,"CẢNH BÁO","BÌNH THƯỜNG")))</x:f>
      </x:c>
      <x:c r="L61" s="22"/>
    </x:row>
    <x:row r="62">
      <x:c r="A62" s="22"/>
      <x:c r="B62" s="38"/>
      <x:c r="C62" s="22"/>
      <x:c r="D62" s="22"/>
      <x:c r="E62" s="22"/>
      <x:c r="F62" s="24"/>
      <x:c r="G62" s="34" t="n">
        <x:f>SUMIFS(Transactions!$L:$L,Transactions!$I:$I,D62,Transactions!$D:$D,"EXPENSE",Transactions!$C:$C,"POSTED",Transactions!$B:$B,"&gt;="&amp;B62,Transactions!$B:$B,"&lt;"&amp;EDATE(B62,1))</x:f>
        <x:v>0</x:v>
      </x:c>
      <x:c r="H62" s="34" t="n">
        <x:f>F62-G62</x:f>
        <x:v>0</x:v>
      </x:c>
      <x:c r="I62" s="40" t="n">
        <x:f>IFERROR(G62/F62,0)</x:f>
        <x:v>0</x:v>
      </x:c>
      <x:c r="J62" s="34" t="str">
        <x:f>IF(B62="","",G62/MAX(1,DAY(MIN(TODAY(),EOMONTH(B62,0))))*DAY(EOMONTH(B62,0)))</x:f>
      </x:c>
      <x:c r="K62" s="32" t="str">
        <x:f>IF(F62="","",IF(I62&gt;=Settings!$B$13,"VƯỢT",IF(I62&gt;=Settings!$B$12,"CẢNH BÁO","BÌNH THƯỜNG")))</x:f>
      </x:c>
      <x:c r="L62" s="22"/>
    </x:row>
    <x:row r="63">
      <x:c r="A63" s="22"/>
      <x:c r="B63" s="38"/>
      <x:c r="C63" s="22"/>
      <x:c r="D63" s="22"/>
      <x:c r="E63" s="22"/>
      <x:c r="F63" s="24"/>
      <x:c r="G63" s="34" t="n">
        <x:f>SUMIFS(Transactions!$L:$L,Transactions!$I:$I,D63,Transactions!$D:$D,"EXPENSE",Transactions!$C:$C,"POSTED",Transactions!$B:$B,"&gt;="&amp;B63,Transactions!$B:$B,"&lt;"&amp;EDATE(B63,1))</x:f>
        <x:v>0</x:v>
      </x:c>
      <x:c r="H63" s="34" t="n">
        <x:f>F63-G63</x:f>
        <x:v>0</x:v>
      </x:c>
      <x:c r="I63" s="40" t="n">
        <x:f>IFERROR(G63/F63,0)</x:f>
        <x:v>0</x:v>
      </x:c>
      <x:c r="J63" s="34" t="str">
        <x:f>IF(B63="","",G63/MAX(1,DAY(MIN(TODAY(),EOMONTH(B63,0))))*DAY(EOMONTH(B63,0)))</x:f>
      </x:c>
      <x:c r="K63" s="32" t="str">
        <x:f>IF(F63="","",IF(I63&gt;=Settings!$B$13,"VƯỢT",IF(I63&gt;=Settings!$B$12,"CẢNH BÁO","BÌNH THƯỜNG")))</x:f>
      </x:c>
      <x:c r="L63" s="22"/>
    </x:row>
    <x:row r="64">
      <x:c r="A64" s="22"/>
      <x:c r="B64" s="38"/>
      <x:c r="C64" s="22"/>
      <x:c r="D64" s="22"/>
      <x:c r="E64" s="22"/>
      <x:c r="F64" s="24"/>
      <x:c r="G64" s="34" t="n">
        <x:f>SUMIFS(Transactions!$L:$L,Transactions!$I:$I,D64,Transactions!$D:$D,"EXPENSE",Transactions!$C:$C,"POSTED",Transactions!$B:$B,"&gt;="&amp;B64,Transactions!$B:$B,"&lt;"&amp;EDATE(B64,1))</x:f>
        <x:v>0</x:v>
      </x:c>
      <x:c r="H64" s="34" t="n">
        <x:f>F64-G64</x:f>
        <x:v>0</x:v>
      </x:c>
      <x:c r="I64" s="40" t="n">
        <x:f>IFERROR(G64/F64,0)</x:f>
        <x:v>0</x:v>
      </x:c>
      <x:c r="J64" s="34" t="str">
        <x:f>IF(B64="","",G64/MAX(1,DAY(MIN(TODAY(),EOMONTH(B64,0))))*DAY(EOMONTH(B64,0)))</x:f>
      </x:c>
      <x:c r="K64" s="32" t="str">
        <x:f>IF(F64="","",IF(I64&gt;=Settings!$B$13,"VƯỢT",IF(I64&gt;=Settings!$B$12,"CẢNH BÁO","BÌNH THƯỜNG")))</x:f>
      </x:c>
      <x:c r="L64" s="22"/>
    </x:row>
    <x:row r="65">
      <x:c r="A65" s="22"/>
      <x:c r="B65" s="38"/>
      <x:c r="C65" s="22"/>
      <x:c r="D65" s="22"/>
      <x:c r="E65" s="22"/>
      <x:c r="F65" s="24"/>
      <x:c r="G65" s="34" t="n">
        <x:f>SUMIFS(Transactions!$L:$L,Transactions!$I:$I,D65,Transactions!$D:$D,"EXPENSE",Transactions!$C:$C,"POSTED",Transactions!$B:$B,"&gt;="&amp;B65,Transactions!$B:$B,"&lt;"&amp;EDATE(B65,1))</x:f>
        <x:v>0</x:v>
      </x:c>
      <x:c r="H65" s="34" t="n">
        <x:f>F65-G65</x:f>
        <x:v>0</x:v>
      </x:c>
      <x:c r="I65" s="40" t="n">
        <x:f>IFERROR(G65/F65,0)</x:f>
        <x:v>0</x:v>
      </x:c>
      <x:c r="J65" s="34" t="str">
        <x:f>IF(B65="","",G65/MAX(1,DAY(MIN(TODAY(),EOMONTH(B65,0))))*DAY(EOMONTH(B65,0)))</x:f>
      </x:c>
      <x:c r="K65" s="32" t="str">
        <x:f>IF(F65="","",IF(I65&gt;=Settings!$B$13,"VƯỢT",IF(I65&gt;=Settings!$B$12,"CẢNH BÁO","BÌNH THƯỜNG")))</x:f>
      </x:c>
      <x:c r="L65" s="22"/>
    </x:row>
    <x:row r="66">
      <x:c r="A66" s="22"/>
      <x:c r="B66" s="38"/>
      <x:c r="C66" s="22"/>
      <x:c r="D66" s="22"/>
      <x:c r="E66" s="22"/>
      <x:c r="F66" s="24"/>
      <x:c r="G66" s="34" t="n">
        <x:f>SUMIFS(Transactions!$L:$L,Transactions!$I:$I,D66,Transactions!$D:$D,"EXPENSE",Transactions!$C:$C,"POSTED",Transactions!$B:$B,"&gt;="&amp;B66,Transactions!$B:$B,"&lt;"&amp;EDATE(B66,1))</x:f>
        <x:v>0</x:v>
      </x:c>
      <x:c r="H66" s="34" t="n">
        <x:f>F66-G66</x:f>
        <x:v>0</x:v>
      </x:c>
      <x:c r="I66" s="40" t="n">
        <x:f>IFERROR(G66/F66,0)</x:f>
        <x:v>0</x:v>
      </x:c>
      <x:c r="J66" s="34" t="str">
        <x:f>IF(B66="","",G66/MAX(1,DAY(MIN(TODAY(),EOMONTH(B66,0))))*DAY(EOMONTH(B66,0)))</x:f>
      </x:c>
      <x:c r="K66" s="32" t="str">
        <x:f>IF(F66="","",IF(I66&gt;=Settings!$B$13,"VƯỢT",IF(I66&gt;=Settings!$B$12,"CẢNH BÁO","BÌNH THƯỜNG")))</x:f>
      </x:c>
      <x:c r="L66" s="22"/>
    </x:row>
    <x:row r="67">
      <x:c r="A67" s="22"/>
      <x:c r="B67" s="38"/>
      <x:c r="C67" s="22"/>
      <x:c r="D67" s="22"/>
      <x:c r="E67" s="22"/>
      <x:c r="F67" s="24"/>
      <x:c r="G67" s="34" t="n">
        <x:f>SUMIFS(Transactions!$L:$L,Transactions!$I:$I,D67,Transactions!$D:$D,"EXPENSE",Transactions!$C:$C,"POSTED",Transactions!$B:$B,"&gt;="&amp;B67,Transactions!$B:$B,"&lt;"&amp;EDATE(B67,1))</x:f>
        <x:v>0</x:v>
      </x:c>
      <x:c r="H67" s="34" t="n">
        <x:f>F67-G67</x:f>
        <x:v>0</x:v>
      </x:c>
      <x:c r="I67" s="40" t="n">
        <x:f>IFERROR(G67/F67,0)</x:f>
        <x:v>0</x:v>
      </x:c>
      <x:c r="J67" s="34" t="str">
        <x:f>IF(B67="","",G67/MAX(1,DAY(MIN(TODAY(),EOMONTH(B67,0))))*DAY(EOMONTH(B67,0)))</x:f>
      </x:c>
      <x:c r="K67" s="32" t="str">
        <x:f>IF(F67="","",IF(I67&gt;=Settings!$B$13,"VƯỢT",IF(I67&gt;=Settings!$B$12,"CẢNH BÁO","BÌNH THƯỜNG")))</x:f>
      </x:c>
      <x:c r="L67" s="22"/>
    </x:row>
    <x:row r="68">
      <x:c r="A68" s="22"/>
      <x:c r="B68" s="38"/>
      <x:c r="C68" s="22"/>
      <x:c r="D68" s="22"/>
      <x:c r="E68" s="22"/>
      <x:c r="F68" s="24"/>
      <x:c r="G68" s="34" t="n">
        <x:f>SUMIFS(Transactions!$L:$L,Transactions!$I:$I,D68,Transactions!$D:$D,"EXPENSE",Transactions!$C:$C,"POSTED",Transactions!$B:$B,"&gt;="&amp;B68,Transactions!$B:$B,"&lt;"&amp;EDATE(B68,1))</x:f>
        <x:v>0</x:v>
      </x:c>
      <x:c r="H68" s="34" t="n">
        <x:f>F68-G68</x:f>
        <x:v>0</x:v>
      </x:c>
      <x:c r="I68" s="40" t="n">
        <x:f>IFERROR(G68/F68,0)</x:f>
        <x:v>0</x:v>
      </x:c>
      <x:c r="J68" s="34" t="str">
        <x:f>IF(B68="","",G68/MAX(1,DAY(MIN(TODAY(),EOMONTH(B68,0))))*DAY(EOMONTH(B68,0)))</x:f>
      </x:c>
      <x:c r="K68" s="32" t="str">
        <x:f>IF(F68="","",IF(I68&gt;=Settings!$B$13,"VƯỢT",IF(I68&gt;=Settings!$B$12,"CẢNH BÁO","BÌNH THƯỜNG")))</x:f>
      </x:c>
      <x:c r="L68" s="22"/>
    </x:row>
    <x:row r="69">
      <x:c r="A69" s="22"/>
      <x:c r="B69" s="38"/>
      <x:c r="C69" s="22"/>
      <x:c r="D69" s="22"/>
      <x:c r="E69" s="22"/>
      <x:c r="F69" s="24"/>
      <x:c r="G69" s="34" t="n">
        <x:f>SUMIFS(Transactions!$L:$L,Transactions!$I:$I,D69,Transactions!$D:$D,"EXPENSE",Transactions!$C:$C,"POSTED",Transactions!$B:$B,"&gt;="&amp;B69,Transactions!$B:$B,"&lt;"&amp;EDATE(B69,1))</x:f>
        <x:v>0</x:v>
      </x:c>
      <x:c r="H69" s="34" t="n">
        <x:f>F69-G69</x:f>
        <x:v>0</x:v>
      </x:c>
      <x:c r="I69" s="40" t="n">
        <x:f>IFERROR(G69/F69,0)</x:f>
        <x:v>0</x:v>
      </x:c>
      <x:c r="J69" s="34" t="str">
        <x:f>IF(B69="","",G69/MAX(1,DAY(MIN(TODAY(),EOMONTH(B69,0))))*DAY(EOMONTH(B69,0)))</x:f>
      </x:c>
      <x:c r="K69" s="32" t="str">
        <x:f>IF(F69="","",IF(I69&gt;=Settings!$B$13,"VƯỢT",IF(I69&gt;=Settings!$B$12,"CẢNH BÁO","BÌNH THƯỜNG")))</x:f>
      </x:c>
      <x:c r="L69" s="22"/>
    </x:row>
    <x:row r="70">
      <x:c r="A70" s="22"/>
      <x:c r="B70" s="38"/>
      <x:c r="C70" s="22"/>
      <x:c r="D70" s="22"/>
      <x:c r="E70" s="22"/>
      <x:c r="F70" s="24"/>
      <x:c r="G70" s="34" t="n">
        <x:f>SUMIFS(Transactions!$L:$L,Transactions!$I:$I,D70,Transactions!$D:$D,"EXPENSE",Transactions!$C:$C,"POSTED",Transactions!$B:$B,"&gt;="&amp;B70,Transactions!$B:$B,"&lt;"&amp;EDATE(B70,1))</x:f>
        <x:v>0</x:v>
      </x:c>
      <x:c r="H70" s="34" t="n">
        <x:f>F70-G70</x:f>
        <x:v>0</x:v>
      </x:c>
      <x:c r="I70" s="40" t="n">
        <x:f>IFERROR(G70/F70,0)</x:f>
        <x:v>0</x:v>
      </x:c>
      <x:c r="J70" s="34" t="str">
        <x:f>IF(B70="","",G70/MAX(1,DAY(MIN(TODAY(),EOMONTH(B70,0))))*DAY(EOMONTH(B70,0)))</x:f>
      </x:c>
      <x:c r="K70" s="32" t="str">
        <x:f>IF(F70="","",IF(I70&gt;=Settings!$B$13,"VƯỢT",IF(I70&gt;=Settings!$B$12,"CẢNH BÁO","BÌNH THƯỜNG")))</x:f>
      </x:c>
      <x:c r="L70" s="22"/>
    </x:row>
    <x:row r="71">
      <x:c r="A71" s="22"/>
      <x:c r="B71" s="38"/>
      <x:c r="C71" s="22"/>
      <x:c r="D71" s="22"/>
      <x:c r="E71" s="22"/>
      <x:c r="F71" s="24"/>
      <x:c r="G71" s="34" t="n">
        <x:f>SUMIFS(Transactions!$L:$L,Transactions!$I:$I,D71,Transactions!$D:$D,"EXPENSE",Transactions!$C:$C,"POSTED",Transactions!$B:$B,"&gt;="&amp;B71,Transactions!$B:$B,"&lt;"&amp;EDATE(B71,1))</x:f>
        <x:v>0</x:v>
      </x:c>
      <x:c r="H71" s="34" t="n">
        <x:f>F71-G71</x:f>
        <x:v>0</x:v>
      </x:c>
      <x:c r="I71" s="40" t="n">
        <x:f>IFERROR(G71/F71,0)</x:f>
        <x:v>0</x:v>
      </x:c>
      <x:c r="J71" s="34" t="str">
        <x:f>IF(B71="","",G71/MAX(1,DAY(MIN(TODAY(),EOMONTH(B71,0))))*DAY(EOMONTH(B71,0)))</x:f>
      </x:c>
      <x:c r="K71" s="32" t="str">
        <x:f>IF(F71="","",IF(I71&gt;=Settings!$B$13,"VƯỢT",IF(I71&gt;=Settings!$B$12,"CẢNH BÁO","BÌNH THƯỜNG")))</x:f>
      </x:c>
      <x:c r="L71" s="22"/>
    </x:row>
    <x:row r="72">
      <x:c r="A72" s="22"/>
      <x:c r="B72" s="38"/>
      <x:c r="C72" s="22"/>
      <x:c r="D72" s="22"/>
      <x:c r="E72" s="22"/>
      <x:c r="F72" s="24"/>
      <x:c r="G72" s="34" t="n">
        <x:f>SUMIFS(Transactions!$L:$L,Transactions!$I:$I,D72,Transactions!$D:$D,"EXPENSE",Transactions!$C:$C,"POSTED",Transactions!$B:$B,"&gt;="&amp;B72,Transactions!$B:$B,"&lt;"&amp;EDATE(B72,1))</x:f>
        <x:v>0</x:v>
      </x:c>
      <x:c r="H72" s="34" t="n">
        <x:f>F72-G72</x:f>
        <x:v>0</x:v>
      </x:c>
      <x:c r="I72" s="40" t="n">
        <x:f>IFERROR(G72/F72,0)</x:f>
        <x:v>0</x:v>
      </x:c>
      <x:c r="J72" s="34" t="str">
        <x:f>IF(B72="","",G72/MAX(1,DAY(MIN(TODAY(),EOMONTH(B72,0))))*DAY(EOMONTH(B72,0)))</x:f>
      </x:c>
      <x:c r="K72" s="32" t="str">
        <x:f>IF(F72="","",IF(I72&gt;=Settings!$B$13,"VƯỢT",IF(I72&gt;=Settings!$B$12,"CẢNH BÁO","BÌNH THƯỜNG")))</x:f>
      </x:c>
      <x:c r="L72" s="22"/>
    </x:row>
    <x:row r="73">
      <x:c r="A73" s="22"/>
      <x:c r="B73" s="38"/>
      <x:c r="C73" s="22"/>
      <x:c r="D73" s="22"/>
      <x:c r="E73" s="22"/>
      <x:c r="F73" s="24"/>
      <x:c r="G73" s="34" t="n">
        <x:f>SUMIFS(Transactions!$L:$L,Transactions!$I:$I,D73,Transactions!$D:$D,"EXPENSE",Transactions!$C:$C,"POSTED",Transactions!$B:$B,"&gt;="&amp;B73,Transactions!$B:$B,"&lt;"&amp;EDATE(B73,1))</x:f>
        <x:v>0</x:v>
      </x:c>
      <x:c r="H73" s="34" t="n">
        <x:f>F73-G73</x:f>
        <x:v>0</x:v>
      </x:c>
      <x:c r="I73" s="40" t="n">
        <x:f>IFERROR(G73/F73,0)</x:f>
        <x:v>0</x:v>
      </x:c>
      <x:c r="J73" s="34" t="str">
        <x:f>IF(B73="","",G73/MAX(1,DAY(MIN(TODAY(),EOMONTH(B73,0))))*DAY(EOMONTH(B73,0)))</x:f>
      </x:c>
      <x:c r="K73" s="32" t="str">
        <x:f>IF(F73="","",IF(I73&gt;=Settings!$B$13,"VƯỢT",IF(I73&gt;=Settings!$B$12,"CẢNH BÁO","BÌNH THƯỜNG")))</x:f>
      </x:c>
      <x:c r="L73" s="22"/>
    </x:row>
    <x:row r="74">
      <x:c r="A74" s="22"/>
      <x:c r="B74" s="38"/>
      <x:c r="C74" s="22"/>
      <x:c r="D74" s="22"/>
      <x:c r="E74" s="22"/>
      <x:c r="F74" s="24"/>
      <x:c r="G74" s="34" t="n">
        <x:f>SUMIFS(Transactions!$L:$L,Transactions!$I:$I,D74,Transactions!$D:$D,"EXPENSE",Transactions!$C:$C,"POSTED",Transactions!$B:$B,"&gt;="&amp;B74,Transactions!$B:$B,"&lt;"&amp;EDATE(B74,1))</x:f>
        <x:v>0</x:v>
      </x:c>
      <x:c r="H74" s="34" t="n">
        <x:f>F74-G74</x:f>
        <x:v>0</x:v>
      </x:c>
      <x:c r="I74" s="40" t="n">
        <x:f>IFERROR(G74/F74,0)</x:f>
        <x:v>0</x:v>
      </x:c>
      <x:c r="J74" s="34" t="str">
        <x:f>IF(B74="","",G74/MAX(1,DAY(MIN(TODAY(),EOMONTH(B74,0))))*DAY(EOMONTH(B74,0)))</x:f>
      </x:c>
      <x:c r="K74" s="32" t="str">
        <x:f>IF(F74="","",IF(I74&gt;=Settings!$B$13,"VƯỢT",IF(I74&gt;=Settings!$B$12,"CẢNH BÁO","BÌNH THƯỜNG")))</x:f>
      </x:c>
      <x:c r="L74" s="22"/>
    </x:row>
    <x:row r="75">
      <x:c r="A75" s="22"/>
      <x:c r="B75" s="38"/>
      <x:c r="C75" s="22"/>
      <x:c r="D75" s="22"/>
      <x:c r="E75" s="22"/>
      <x:c r="F75" s="24"/>
      <x:c r="G75" s="34" t="n">
        <x:f>SUMIFS(Transactions!$L:$L,Transactions!$I:$I,D75,Transactions!$D:$D,"EXPENSE",Transactions!$C:$C,"POSTED",Transactions!$B:$B,"&gt;="&amp;B75,Transactions!$B:$B,"&lt;"&amp;EDATE(B75,1))</x:f>
        <x:v>0</x:v>
      </x:c>
      <x:c r="H75" s="34" t="n">
        <x:f>F75-G75</x:f>
        <x:v>0</x:v>
      </x:c>
      <x:c r="I75" s="40" t="n">
        <x:f>IFERROR(G75/F75,0)</x:f>
        <x:v>0</x:v>
      </x:c>
      <x:c r="J75" s="34" t="str">
        <x:f>IF(B75="","",G75/MAX(1,DAY(MIN(TODAY(),EOMONTH(B75,0))))*DAY(EOMONTH(B75,0)))</x:f>
      </x:c>
      <x:c r="K75" s="32" t="str">
        <x:f>IF(F75="","",IF(I75&gt;=Settings!$B$13,"VƯỢT",IF(I75&gt;=Settings!$B$12,"CẢNH BÁO","BÌNH THƯỜNG")))</x:f>
      </x:c>
      <x:c r="L75" s="22"/>
    </x:row>
    <x:row r="76">
      <x:c r="A76" s="22"/>
      <x:c r="B76" s="38"/>
      <x:c r="C76" s="22"/>
      <x:c r="D76" s="22"/>
      <x:c r="E76" s="22"/>
      <x:c r="F76" s="24"/>
      <x:c r="G76" s="34" t="n">
        <x:f>SUMIFS(Transactions!$L:$L,Transactions!$I:$I,D76,Transactions!$D:$D,"EXPENSE",Transactions!$C:$C,"POSTED",Transactions!$B:$B,"&gt;="&amp;B76,Transactions!$B:$B,"&lt;"&amp;EDATE(B76,1))</x:f>
        <x:v>0</x:v>
      </x:c>
      <x:c r="H76" s="34" t="n">
        <x:f>F76-G76</x:f>
        <x:v>0</x:v>
      </x:c>
      <x:c r="I76" s="40" t="n">
        <x:f>IFERROR(G76/F76,0)</x:f>
        <x:v>0</x:v>
      </x:c>
      <x:c r="J76" s="34" t="str">
        <x:f>IF(B76="","",G76/MAX(1,DAY(MIN(TODAY(),EOMONTH(B76,0))))*DAY(EOMONTH(B76,0)))</x:f>
      </x:c>
      <x:c r="K76" s="32" t="str">
        <x:f>IF(F76="","",IF(I76&gt;=Settings!$B$13,"VƯỢT",IF(I76&gt;=Settings!$B$12,"CẢNH BÁO","BÌNH THƯỜNG")))</x:f>
      </x:c>
      <x:c r="L76" s="22"/>
    </x:row>
    <x:row r="77">
      <x:c r="A77" s="22"/>
      <x:c r="B77" s="38"/>
      <x:c r="C77" s="22"/>
      <x:c r="D77" s="22"/>
      <x:c r="E77" s="22"/>
      <x:c r="F77" s="24"/>
      <x:c r="G77" s="34" t="n">
        <x:f>SUMIFS(Transactions!$L:$L,Transactions!$I:$I,D77,Transactions!$D:$D,"EXPENSE",Transactions!$C:$C,"POSTED",Transactions!$B:$B,"&gt;="&amp;B77,Transactions!$B:$B,"&lt;"&amp;EDATE(B77,1))</x:f>
        <x:v>0</x:v>
      </x:c>
      <x:c r="H77" s="34" t="n">
        <x:f>F77-G77</x:f>
        <x:v>0</x:v>
      </x:c>
      <x:c r="I77" s="40" t="n">
        <x:f>IFERROR(G77/F77,0)</x:f>
        <x:v>0</x:v>
      </x:c>
      <x:c r="J77" s="34" t="str">
        <x:f>IF(B77="","",G77/MAX(1,DAY(MIN(TODAY(),EOMONTH(B77,0))))*DAY(EOMONTH(B77,0)))</x:f>
      </x:c>
      <x:c r="K77" s="32" t="str">
        <x:f>IF(F77="","",IF(I77&gt;=Settings!$B$13,"VƯỢT",IF(I77&gt;=Settings!$B$12,"CẢNH BÁO","BÌNH THƯỜNG")))</x:f>
      </x:c>
      <x:c r="L77" s="22"/>
    </x:row>
    <x:row r="78">
      <x:c r="A78" s="22"/>
      <x:c r="B78" s="38"/>
      <x:c r="C78" s="22"/>
      <x:c r="D78" s="22"/>
      <x:c r="E78" s="22"/>
      <x:c r="F78" s="24"/>
      <x:c r="G78" s="34" t="n">
        <x:f>SUMIFS(Transactions!$L:$L,Transactions!$I:$I,D78,Transactions!$D:$D,"EXPENSE",Transactions!$C:$C,"POSTED",Transactions!$B:$B,"&gt;="&amp;B78,Transactions!$B:$B,"&lt;"&amp;EDATE(B78,1))</x:f>
        <x:v>0</x:v>
      </x:c>
      <x:c r="H78" s="34" t="n">
        <x:f>F78-G78</x:f>
        <x:v>0</x:v>
      </x:c>
      <x:c r="I78" s="40" t="n">
        <x:f>IFERROR(G78/F78,0)</x:f>
        <x:v>0</x:v>
      </x:c>
      <x:c r="J78" s="34" t="str">
        <x:f>IF(B78="","",G78/MAX(1,DAY(MIN(TODAY(),EOMONTH(B78,0))))*DAY(EOMONTH(B78,0)))</x:f>
      </x:c>
      <x:c r="K78" s="32" t="str">
        <x:f>IF(F78="","",IF(I78&gt;=Settings!$B$13,"VƯỢT",IF(I78&gt;=Settings!$B$12,"CẢNH BÁO","BÌNH THƯỜNG")))</x:f>
      </x:c>
      <x:c r="L78" s="22"/>
    </x:row>
    <x:row r="79">
      <x:c r="A79" s="22"/>
      <x:c r="B79" s="38"/>
      <x:c r="C79" s="22"/>
      <x:c r="D79" s="22"/>
      <x:c r="E79" s="22"/>
      <x:c r="F79" s="24"/>
      <x:c r="G79" s="34" t="n">
        <x:f>SUMIFS(Transactions!$L:$L,Transactions!$I:$I,D79,Transactions!$D:$D,"EXPENSE",Transactions!$C:$C,"POSTED",Transactions!$B:$B,"&gt;="&amp;B79,Transactions!$B:$B,"&lt;"&amp;EDATE(B79,1))</x:f>
        <x:v>0</x:v>
      </x:c>
      <x:c r="H79" s="34" t="n">
        <x:f>F79-G79</x:f>
        <x:v>0</x:v>
      </x:c>
      <x:c r="I79" s="40" t="n">
        <x:f>IFERROR(G79/F79,0)</x:f>
        <x:v>0</x:v>
      </x:c>
      <x:c r="J79" s="34" t="str">
        <x:f>IF(B79="","",G79/MAX(1,DAY(MIN(TODAY(),EOMONTH(B79,0))))*DAY(EOMONTH(B79,0)))</x:f>
      </x:c>
      <x:c r="K79" s="32" t="str">
        <x:f>IF(F79="","",IF(I79&gt;=Settings!$B$13,"VƯỢT",IF(I79&gt;=Settings!$B$12,"CẢNH BÁO","BÌNH THƯỜNG")))</x:f>
      </x:c>
      <x:c r="L79" s="22"/>
    </x:row>
    <x:row r="80">
      <x:c r="A80" s="22"/>
      <x:c r="B80" s="38"/>
      <x:c r="C80" s="22"/>
      <x:c r="D80" s="22"/>
      <x:c r="E80" s="22"/>
      <x:c r="F80" s="24"/>
      <x:c r="G80" s="34" t="n">
        <x:f>SUMIFS(Transactions!$L:$L,Transactions!$I:$I,D80,Transactions!$D:$D,"EXPENSE",Transactions!$C:$C,"POSTED",Transactions!$B:$B,"&gt;="&amp;B80,Transactions!$B:$B,"&lt;"&amp;EDATE(B80,1))</x:f>
        <x:v>0</x:v>
      </x:c>
      <x:c r="H80" s="34" t="n">
        <x:f>F80-G80</x:f>
        <x:v>0</x:v>
      </x:c>
      <x:c r="I80" s="40" t="n">
        <x:f>IFERROR(G80/F80,0)</x:f>
        <x:v>0</x:v>
      </x:c>
      <x:c r="J80" s="34" t="str">
        <x:f>IF(B80="","",G80/MAX(1,DAY(MIN(TODAY(),EOMONTH(B80,0))))*DAY(EOMONTH(B80,0)))</x:f>
      </x:c>
      <x:c r="K80" s="32" t="str">
        <x:f>IF(F80="","",IF(I80&gt;=Settings!$B$13,"VƯỢT",IF(I80&gt;=Settings!$B$12,"CẢNH BÁO","BÌNH THƯỜNG")))</x:f>
      </x:c>
      <x:c r="L80" s="22"/>
    </x:row>
    <x:row r="81">
      <x:c r="A81" s="22"/>
      <x:c r="B81" s="38"/>
      <x:c r="C81" s="22"/>
      <x:c r="D81" s="22"/>
      <x:c r="E81" s="22"/>
      <x:c r="F81" s="24"/>
      <x:c r="G81" s="34" t="n">
        <x:f>SUMIFS(Transactions!$L:$L,Transactions!$I:$I,D81,Transactions!$D:$D,"EXPENSE",Transactions!$C:$C,"POSTED",Transactions!$B:$B,"&gt;="&amp;B81,Transactions!$B:$B,"&lt;"&amp;EDATE(B81,1))</x:f>
        <x:v>0</x:v>
      </x:c>
      <x:c r="H81" s="34" t="n">
        <x:f>F81-G81</x:f>
        <x:v>0</x:v>
      </x:c>
      <x:c r="I81" s="40" t="n">
        <x:f>IFERROR(G81/F81,0)</x:f>
        <x:v>0</x:v>
      </x:c>
      <x:c r="J81" s="34" t="str">
        <x:f>IF(B81="","",G81/MAX(1,DAY(MIN(TODAY(),EOMONTH(B81,0))))*DAY(EOMONTH(B81,0)))</x:f>
      </x:c>
      <x:c r="K81" s="32" t="str">
        <x:f>IF(F81="","",IF(I81&gt;=Settings!$B$13,"VƯỢT",IF(I81&gt;=Settings!$B$12,"CẢNH BÁO","BÌNH THƯỜNG")))</x:f>
      </x:c>
      <x:c r="L81" s="22"/>
    </x:row>
    <x:row r="82">
      <x:c r="A82" s="22"/>
      <x:c r="B82" s="38"/>
      <x:c r="C82" s="22"/>
      <x:c r="D82" s="22"/>
      <x:c r="E82" s="22"/>
      <x:c r="F82" s="24"/>
      <x:c r="G82" s="34" t="n">
        <x:f>SUMIFS(Transactions!$L:$L,Transactions!$I:$I,D82,Transactions!$D:$D,"EXPENSE",Transactions!$C:$C,"POSTED",Transactions!$B:$B,"&gt;="&amp;B82,Transactions!$B:$B,"&lt;"&amp;EDATE(B82,1))</x:f>
        <x:v>0</x:v>
      </x:c>
      <x:c r="H82" s="34" t="n">
        <x:f>F82-G82</x:f>
        <x:v>0</x:v>
      </x:c>
      <x:c r="I82" s="40" t="n">
        <x:f>IFERROR(G82/F82,0)</x:f>
        <x:v>0</x:v>
      </x:c>
      <x:c r="J82" s="34" t="str">
        <x:f>IF(B82="","",G82/MAX(1,DAY(MIN(TODAY(),EOMONTH(B82,0))))*DAY(EOMONTH(B82,0)))</x:f>
      </x:c>
      <x:c r="K82" s="32" t="str">
        <x:f>IF(F82="","",IF(I82&gt;=Settings!$B$13,"VƯỢT",IF(I82&gt;=Settings!$B$12,"CẢNH BÁO","BÌNH THƯỜNG")))</x:f>
      </x:c>
      <x:c r="L82" s="22"/>
    </x:row>
    <x:row r="83">
      <x:c r="A83" s="22"/>
      <x:c r="B83" s="38"/>
      <x:c r="C83" s="22"/>
      <x:c r="D83" s="22"/>
      <x:c r="E83" s="22"/>
      <x:c r="F83" s="24"/>
      <x:c r="G83" s="34" t="n">
        <x:f>SUMIFS(Transactions!$L:$L,Transactions!$I:$I,D83,Transactions!$D:$D,"EXPENSE",Transactions!$C:$C,"POSTED",Transactions!$B:$B,"&gt;="&amp;B83,Transactions!$B:$B,"&lt;"&amp;EDATE(B83,1))</x:f>
        <x:v>0</x:v>
      </x:c>
      <x:c r="H83" s="34" t="n">
        <x:f>F83-G83</x:f>
        <x:v>0</x:v>
      </x:c>
      <x:c r="I83" s="40" t="n">
        <x:f>IFERROR(G83/F83,0)</x:f>
        <x:v>0</x:v>
      </x:c>
      <x:c r="J83" s="34" t="str">
        <x:f>IF(B83="","",G83/MAX(1,DAY(MIN(TODAY(),EOMONTH(B83,0))))*DAY(EOMONTH(B83,0)))</x:f>
      </x:c>
      <x:c r="K83" s="32" t="str">
        <x:f>IF(F83="","",IF(I83&gt;=Settings!$B$13,"VƯỢT",IF(I83&gt;=Settings!$B$12,"CẢNH BÁO","BÌNH THƯỜNG")))</x:f>
      </x:c>
      <x:c r="L83" s="22"/>
    </x:row>
    <x:row r="84">
      <x:c r="A84" s="22"/>
      <x:c r="B84" s="38"/>
      <x:c r="C84" s="22"/>
      <x:c r="D84" s="22"/>
      <x:c r="E84" s="22"/>
      <x:c r="F84" s="24"/>
      <x:c r="G84" s="34" t="n">
        <x:f>SUMIFS(Transactions!$L:$L,Transactions!$I:$I,D84,Transactions!$D:$D,"EXPENSE",Transactions!$C:$C,"POSTED",Transactions!$B:$B,"&gt;="&amp;B84,Transactions!$B:$B,"&lt;"&amp;EDATE(B84,1))</x:f>
        <x:v>0</x:v>
      </x:c>
      <x:c r="H84" s="34" t="n">
        <x:f>F84-G84</x:f>
        <x:v>0</x:v>
      </x:c>
      <x:c r="I84" s="40" t="n">
        <x:f>IFERROR(G84/F84,0)</x:f>
        <x:v>0</x:v>
      </x:c>
      <x:c r="J84" s="34" t="str">
        <x:f>IF(B84="","",G84/MAX(1,DAY(MIN(TODAY(),EOMONTH(B84,0))))*DAY(EOMONTH(B84,0)))</x:f>
      </x:c>
      <x:c r="K84" s="32" t="str">
        <x:f>IF(F84="","",IF(I84&gt;=Settings!$B$13,"VƯỢT",IF(I84&gt;=Settings!$B$12,"CẢNH BÁO","BÌNH THƯỜNG")))</x:f>
      </x:c>
      <x:c r="L84" s="22"/>
    </x:row>
    <x:row r="85">
      <x:c r="A85" s="22"/>
      <x:c r="B85" s="38"/>
      <x:c r="C85" s="22"/>
      <x:c r="D85" s="22"/>
      <x:c r="E85" s="22"/>
      <x:c r="F85" s="24"/>
      <x:c r="G85" s="34" t="n">
        <x:f>SUMIFS(Transactions!$L:$L,Transactions!$I:$I,D85,Transactions!$D:$D,"EXPENSE",Transactions!$C:$C,"POSTED",Transactions!$B:$B,"&gt;="&amp;B85,Transactions!$B:$B,"&lt;"&amp;EDATE(B85,1))</x:f>
        <x:v>0</x:v>
      </x:c>
      <x:c r="H85" s="34" t="n">
        <x:f>F85-G85</x:f>
        <x:v>0</x:v>
      </x:c>
      <x:c r="I85" s="40" t="n">
        <x:f>IFERROR(G85/F85,0)</x:f>
        <x:v>0</x:v>
      </x:c>
      <x:c r="J85" s="34" t="str">
        <x:f>IF(B85="","",G85/MAX(1,DAY(MIN(TODAY(),EOMONTH(B85,0))))*DAY(EOMONTH(B85,0)))</x:f>
      </x:c>
      <x:c r="K85" s="32" t="str">
        <x:f>IF(F85="","",IF(I85&gt;=Settings!$B$13,"VƯỢT",IF(I85&gt;=Settings!$B$12,"CẢNH BÁO","BÌNH THƯỜNG")))</x:f>
      </x:c>
      <x:c r="L85" s="22"/>
    </x:row>
    <x:row r="86">
      <x:c r="A86" s="22"/>
      <x:c r="B86" s="38"/>
      <x:c r="C86" s="22"/>
      <x:c r="D86" s="22"/>
      <x:c r="E86" s="22"/>
      <x:c r="F86" s="24"/>
      <x:c r="G86" s="34" t="n">
        <x:f>SUMIFS(Transactions!$L:$L,Transactions!$I:$I,D86,Transactions!$D:$D,"EXPENSE",Transactions!$C:$C,"POSTED",Transactions!$B:$B,"&gt;="&amp;B86,Transactions!$B:$B,"&lt;"&amp;EDATE(B86,1))</x:f>
        <x:v>0</x:v>
      </x:c>
      <x:c r="H86" s="34" t="n">
        <x:f>F86-G86</x:f>
        <x:v>0</x:v>
      </x:c>
      <x:c r="I86" s="40" t="n">
        <x:f>IFERROR(G86/F86,0)</x:f>
        <x:v>0</x:v>
      </x:c>
      <x:c r="J86" s="34" t="str">
        <x:f>IF(B86="","",G86/MAX(1,DAY(MIN(TODAY(),EOMONTH(B86,0))))*DAY(EOMONTH(B86,0)))</x:f>
      </x:c>
      <x:c r="K86" s="32" t="str">
        <x:f>IF(F86="","",IF(I86&gt;=Settings!$B$13,"VƯỢT",IF(I86&gt;=Settings!$B$12,"CẢNH BÁO","BÌNH THƯỜNG")))</x:f>
      </x:c>
      <x:c r="L86" s="22"/>
    </x:row>
    <x:row r="87">
      <x:c r="A87" s="22"/>
      <x:c r="B87" s="38"/>
      <x:c r="C87" s="22"/>
      <x:c r="D87" s="22"/>
      <x:c r="E87" s="22"/>
      <x:c r="F87" s="24"/>
      <x:c r="G87" s="34" t="n">
        <x:f>SUMIFS(Transactions!$L:$L,Transactions!$I:$I,D87,Transactions!$D:$D,"EXPENSE",Transactions!$C:$C,"POSTED",Transactions!$B:$B,"&gt;="&amp;B87,Transactions!$B:$B,"&lt;"&amp;EDATE(B87,1))</x:f>
        <x:v>0</x:v>
      </x:c>
      <x:c r="H87" s="34" t="n">
        <x:f>F87-G87</x:f>
        <x:v>0</x:v>
      </x:c>
      <x:c r="I87" s="40" t="n">
        <x:f>IFERROR(G87/F87,0)</x:f>
        <x:v>0</x:v>
      </x:c>
      <x:c r="J87" s="34" t="str">
        <x:f>IF(B87="","",G87/MAX(1,DAY(MIN(TODAY(),EOMONTH(B87,0))))*DAY(EOMONTH(B87,0)))</x:f>
      </x:c>
      <x:c r="K87" s="32" t="str">
        <x:f>IF(F87="","",IF(I87&gt;=Settings!$B$13,"VƯỢT",IF(I87&gt;=Settings!$B$12,"CẢNH BÁO","BÌNH THƯỜNG")))</x:f>
      </x:c>
      <x:c r="L87" s="22"/>
    </x:row>
    <x:row r="88">
      <x:c r="A88" s="22"/>
      <x:c r="B88" s="38"/>
      <x:c r="C88" s="22"/>
      <x:c r="D88" s="22"/>
      <x:c r="E88" s="22"/>
      <x:c r="F88" s="24"/>
      <x:c r="G88" s="34" t="n">
        <x:f>SUMIFS(Transactions!$L:$L,Transactions!$I:$I,D88,Transactions!$D:$D,"EXPENSE",Transactions!$C:$C,"POSTED",Transactions!$B:$B,"&gt;="&amp;B88,Transactions!$B:$B,"&lt;"&amp;EDATE(B88,1))</x:f>
        <x:v>0</x:v>
      </x:c>
      <x:c r="H88" s="34" t="n">
        <x:f>F88-G88</x:f>
        <x:v>0</x:v>
      </x:c>
      <x:c r="I88" s="40" t="n">
        <x:f>IFERROR(G88/F88,0)</x:f>
        <x:v>0</x:v>
      </x:c>
      <x:c r="J88" s="34" t="str">
        <x:f>IF(B88="","",G88/MAX(1,DAY(MIN(TODAY(),EOMONTH(B88,0))))*DAY(EOMONTH(B88,0)))</x:f>
      </x:c>
      <x:c r="K88" s="32" t="str">
        <x:f>IF(F88="","",IF(I88&gt;=Settings!$B$13,"VƯỢT",IF(I88&gt;=Settings!$B$12,"CẢNH BÁO","BÌNH THƯỜNG")))</x:f>
      </x:c>
      <x:c r="L88" s="22"/>
    </x:row>
    <x:row r="89">
      <x:c r="A89" s="22"/>
      <x:c r="B89" s="38"/>
      <x:c r="C89" s="22"/>
      <x:c r="D89" s="22"/>
      <x:c r="E89" s="22"/>
      <x:c r="F89" s="24"/>
      <x:c r="G89" s="34" t="n">
        <x:f>SUMIFS(Transactions!$L:$L,Transactions!$I:$I,D89,Transactions!$D:$D,"EXPENSE",Transactions!$C:$C,"POSTED",Transactions!$B:$B,"&gt;="&amp;B89,Transactions!$B:$B,"&lt;"&amp;EDATE(B89,1))</x:f>
        <x:v>0</x:v>
      </x:c>
      <x:c r="H89" s="34" t="n">
        <x:f>F89-G89</x:f>
        <x:v>0</x:v>
      </x:c>
      <x:c r="I89" s="40" t="n">
        <x:f>IFERROR(G89/F89,0)</x:f>
        <x:v>0</x:v>
      </x:c>
      <x:c r="J89" s="34" t="str">
        <x:f>IF(B89="","",G89/MAX(1,DAY(MIN(TODAY(),EOMONTH(B89,0))))*DAY(EOMONTH(B89,0)))</x:f>
      </x:c>
      <x:c r="K89" s="32" t="str">
        <x:f>IF(F89="","",IF(I89&gt;=Settings!$B$13,"VƯỢT",IF(I89&gt;=Settings!$B$12,"CẢNH BÁO","BÌNH THƯỜNG")))</x:f>
      </x:c>
      <x:c r="L89" s="22"/>
    </x:row>
    <x:row r="90">
      <x:c r="A90" s="22"/>
      <x:c r="B90" s="38"/>
      <x:c r="C90" s="22"/>
      <x:c r="D90" s="22"/>
      <x:c r="E90" s="22"/>
      <x:c r="F90" s="24"/>
      <x:c r="G90" s="34" t="n">
        <x:f>SUMIFS(Transactions!$L:$L,Transactions!$I:$I,D90,Transactions!$D:$D,"EXPENSE",Transactions!$C:$C,"POSTED",Transactions!$B:$B,"&gt;="&amp;B90,Transactions!$B:$B,"&lt;"&amp;EDATE(B90,1))</x:f>
        <x:v>0</x:v>
      </x:c>
      <x:c r="H90" s="34" t="n">
        <x:f>F90-G90</x:f>
        <x:v>0</x:v>
      </x:c>
      <x:c r="I90" s="40" t="n">
        <x:f>IFERROR(G90/F90,0)</x:f>
        <x:v>0</x:v>
      </x:c>
      <x:c r="J90" s="34" t="str">
        <x:f>IF(B90="","",G90/MAX(1,DAY(MIN(TODAY(),EOMONTH(B90,0))))*DAY(EOMONTH(B90,0)))</x:f>
      </x:c>
      <x:c r="K90" s="32" t="str">
        <x:f>IF(F90="","",IF(I90&gt;=Settings!$B$13,"VƯỢT",IF(I90&gt;=Settings!$B$12,"CẢNH BÁO","BÌNH THƯỜNG")))</x:f>
      </x:c>
      <x:c r="L90" s="22"/>
    </x:row>
    <x:row r="91">
      <x:c r="A91" s="22"/>
      <x:c r="B91" s="38"/>
      <x:c r="C91" s="22"/>
      <x:c r="D91" s="22"/>
      <x:c r="E91" s="22"/>
      <x:c r="F91" s="24"/>
      <x:c r="G91" s="34" t="n">
        <x:f>SUMIFS(Transactions!$L:$L,Transactions!$I:$I,D91,Transactions!$D:$D,"EXPENSE",Transactions!$C:$C,"POSTED",Transactions!$B:$B,"&gt;="&amp;B91,Transactions!$B:$B,"&lt;"&amp;EDATE(B91,1))</x:f>
        <x:v>0</x:v>
      </x:c>
      <x:c r="H91" s="34" t="n">
        <x:f>F91-G91</x:f>
        <x:v>0</x:v>
      </x:c>
      <x:c r="I91" s="40" t="n">
        <x:f>IFERROR(G91/F91,0)</x:f>
        <x:v>0</x:v>
      </x:c>
      <x:c r="J91" s="34" t="str">
        <x:f>IF(B91="","",G91/MAX(1,DAY(MIN(TODAY(),EOMONTH(B91,0))))*DAY(EOMONTH(B91,0)))</x:f>
      </x:c>
      <x:c r="K91" s="32" t="str">
        <x:f>IF(F91="","",IF(I91&gt;=Settings!$B$13,"VƯỢT",IF(I91&gt;=Settings!$B$12,"CẢNH BÁO","BÌNH THƯỜNG")))</x:f>
      </x:c>
      <x:c r="L91" s="22"/>
    </x:row>
    <x:row r="92">
      <x:c r="A92" s="22"/>
      <x:c r="B92" s="38"/>
      <x:c r="C92" s="22"/>
      <x:c r="D92" s="22"/>
      <x:c r="E92" s="22"/>
      <x:c r="F92" s="24"/>
      <x:c r="G92" s="34" t="n">
        <x:f>SUMIFS(Transactions!$L:$L,Transactions!$I:$I,D92,Transactions!$D:$D,"EXPENSE",Transactions!$C:$C,"POSTED",Transactions!$B:$B,"&gt;="&amp;B92,Transactions!$B:$B,"&lt;"&amp;EDATE(B92,1))</x:f>
        <x:v>0</x:v>
      </x:c>
      <x:c r="H92" s="34" t="n">
        <x:f>F92-G92</x:f>
        <x:v>0</x:v>
      </x:c>
      <x:c r="I92" s="40" t="n">
        <x:f>IFERROR(G92/F92,0)</x:f>
        <x:v>0</x:v>
      </x:c>
      <x:c r="J92" s="34" t="str">
        <x:f>IF(B92="","",G92/MAX(1,DAY(MIN(TODAY(),EOMONTH(B92,0))))*DAY(EOMONTH(B92,0)))</x:f>
      </x:c>
      <x:c r="K92" s="32" t="str">
        <x:f>IF(F92="","",IF(I92&gt;=Settings!$B$13,"VƯỢT",IF(I92&gt;=Settings!$B$12,"CẢNH BÁO","BÌNH THƯỜNG")))</x:f>
      </x:c>
      <x:c r="L92" s="22"/>
    </x:row>
    <x:row r="93">
      <x:c r="A93" s="22"/>
      <x:c r="B93" s="38"/>
      <x:c r="C93" s="22"/>
      <x:c r="D93" s="22"/>
      <x:c r="E93" s="22"/>
      <x:c r="F93" s="24"/>
      <x:c r="G93" s="34" t="n">
        <x:f>SUMIFS(Transactions!$L:$L,Transactions!$I:$I,D93,Transactions!$D:$D,"EXPENSE",Transactions!$C:$C,"POSTED",Transactions!$B:$B,"&gt;="&amp;B93,Transactions!$B:$B,"&lt;"&amp;EDATE(B93,1))</x:f>
        <x:v>0</x:v>
      </x:c>
      <x:c r="H93" s="34" t="n">
        <x:f>F93-G93</x:f>
        <x:v>0</x:v>
      </x:c>
      <x:c r="I93" s="40" t="n">
        <x:f>IFERROR(G93/F93,0)</x:f>
        <x:v>0</x:v>
      </x:c>
      <x:c r="J93" s="34" t="str">
        <x:f>IF(B93="","",G93/MAX(1,DAY(MIN(TODAY(),EOMONTH(B93,0))))*DAY(EOMONTH(B93,0)))</x:f>
      </x:c>
      <x:c r="K93" s="32" t="str">
        <x:f>IF(F93="","",IF(I93&gt;=Settings!$B$13,"VƯỢT",IF(I93&gt;=Settings!$B$12,"CẢNH BÁO","BÌNH THƯỜNG")))</x:f>
      </x:c>
      <x:c r="L93" s="22"/>
    </x:row>
    <x:row r="94">
      <x:c r="A94" s="22"/>
      <x:c r="B94" s="38"/>
      <x:c r="C94" s="22"/>
      <x:c r="D94" s="22"/>
      <x:c r="E94" s="22"/>
      <x:c r="F94" s="24"/>
      <x:c r="G94" s="34" t="n">
        <x:f>SUMIFS(Transactions!$L:$L,Transactions!$I:$I,D94,Transactions!$D:$D,"EXPENSE",Transactions!$C:$C,"POSTED",Transactions!$B:$B,"&gt;="&amp;B94,Transactions!$B:$B,"&lt;"&amp;EDATE(B94,1))</x:f>
        <x:v>0</x:v>
      </x:c>
      <x:c r="H94" s="34" t="n">
        <x:f>F94-G94</x:f>
        <x:v>0</x:v>
      </x:c>
      <x:c r="I94" s="40" t="n">
        <x:f>IFERROR(G94/F94,0)</x:f>
        <x:v>0</x:v>
      </x:c>
      <x:c r="J94" s="34" t="str">
        <x:f>IF(B94="","",G94/MAX(1,DAY(MIN(TODAY(),EOMONTH(B94,0))))*DAY(EOMONTH(B94,0)))</x:f>
      </x:c>
      <x:c r="K94" s="32" t="str">
        <x:f>IF(F94="","",IF(I94&gt;=Settings!$B$13,"VƯỢT",IF(I94&gt;=Settings!$B$12,"CẢNH BÁO","BÌNH THƯỜNG")))</x:f>
      </x:c>
      <x:c r="L94" s="22"/>
    </x:row>
    <x:row r="95">
      <x:c r="A95" s="22"/>
      <x:c r="B95" s="38"/>
      <x:c r="C95" s="22"/>
      <x:c r="D95" s="22"/>
      <x:c r="E95" s="22"/>
      <x:c r="F95" s="24"/>
      <x:c r="G95" s="34" t="n">
        <x:f>SUMIFS(Transactions!$L:$L,Transactions!$I:$I,D95,Transactions!$D:$D,"EXPENSE",Transactions!$C:$C,"POSTED",Transactions!$B:$B,"&gt;="&amp;B95,Transactions!$B:$B,"&lt;"&amp;EDATE(B95,1))</x:f>
        <x:v>0</x:v>
      </x:c>
      <x:c r="H95" s="34" t="n">
        <x:f>F95-G95</x:f>
        <x:v>0</x:v>
      </x:c>
      <x:c r="I95" s="40" t="n">
        <x:f>IFERROR(G95/F95,0)</x:f>
        <x:v>0</x:v>
      </x:c>
      <x:c r="J95" s="34" t="str">
        <x:f>IF(B95="","",G95/MAX(1,DAY(MIN(TODAY(),EOMONTH(B95,0))))*DAY(EOMONTH(B95,0)))</x:f>
      </x:c>
      <x:c r="K95" s="32" t="str">
        <x:f>IF(F95="","",IF(I95&gt;=Settings!$B$13,"VƯỢT",IF(I95&gt;=Settings!$B$12,"CẢNH BÁO","BÌNH THƯỜNG")))</x:f>
      </x:c>
      <x:c r="L95" s="22"/>
    </x:row>
    <x:row r="96">
      <x:c r="A96" s="22"/>
      <x:c r="B96" s="38"/>
      <x:c r="C96" s="22"/>
      <x:c r="D96" s="22"/>
      <x:c r="E96" s="22"/>
      <x:c r="F96" s="24"/>
      <x:c r="G96" s="34" t="n">
        <x:f>SUMIFS(Transactions!$L:$L,Transactions!$I:$I,D96,Transactions!$D:$D,"EXPENSE",Transactions!$C:$C,"POSTED",Transactions!$B:$B,"&gt;="&amp;B96,Transactions!$B:$B,"&lt;"&amp;EDATE(B96,1))</x:f>
        <x:v>0</x:v>
      </x:c>
      <x:c r="H96" s="34" t="n">
        <x:f>F96-G96</x:f>
        <x:v>0</x:v>
      </x:c>
      <x:c r="I96" s="40" t="n">
        <x:f>IFERROR(G96/F96,0)</x:f>
        <x:v>0</x:v>
      </x:c>
      <x:c r="J96" s="34" t="str">
        <x:f>IF(B96="","",G96/MAX(1,DAY(MIN(TODAY(),EOMONTH(B96,0))))*DAY(EOMONTH(B96,0)))</x:f>
      </x:c>
      <x:c r="K96" s="32" t="str">
        <x:f>IF(F96="","",IF(I96&gt;=Settings!$B$13,"VƯỢT",IF(I96&gt;=Settings!$B$12,"CẢNH BÁO","BÌNH THƯỜNG")))</x:f>
      </x:c>
      <x:c r="L96" s="22"/>
    </x:row>
    <x:row r="97">
      <x:c r="A97" s="22"/>
      <x:c r="B97" s="38"/>
      <x:c r="C97" s="22"/>
      <x:c r="D97" s="22"/>
      <x:c r="E97" s="22"/>
      <x:c r="F97" s="24"/>
      <x:c r="G97" s="34" t="n">
        <x:f>SUMIFS(Transactions!$L:$L,Transactions!$I:$I,D97,Transactions!$D:$D,"EXPENSE",Transactions!$C:$C,"POSTED",Transactions!$B:$B,"&gt;="&amp;B97,Transactions!$B:$B,"&lt;"&amp;EDATE(B97,1))</x:f>
        <x:v>0</x:v>
      </x:c>
      <x:c r="H97" s="34" t="n">
        <x:f>F97-G97</x:f>
        <x:v>0</x:v>
      </x:c>
      <x:c r="I97" s="40" t="n">
        <x:f>IFERROR(G97/F97,0)</x:f>
        <x:v>0</x:v>
      </x:c>
      <x:c r="J97" s="34" t="str">
        <x:f>IF(B97="","",G97/MAX(1,DAY(MIN(TODAY(),EOMONTH(B97,0))))*DAY(EOMONTH(B97,0)))</x:f>
      </x:c>
      <x:c r="K97" s="32" t="str">
        <x:f>IF(F97="","",IF(I97&gt;=Settings!$B$13,"VƯỢT",IF(I97&gt;=Settings!$B$12,"CẢNH BÁO","BÌNH THƯỜNG")))</x:f>
      </x:c>
      <x:c r="L97" s="22"/>
    </x:row>
    <x:row r="98">
      <x:c r="A98" s="22"/>
      <x:c r="B98" s="38"/>
      <x:c r="C98" s="22"/>
      <x:c r="D98" s="22"/>
      <x:c r="E98" s="22"/>
      <x:c r="F98" s="24"/>
      <x:c r="G98" s="34" t="n">
        <x:f>SUMIFS(Transactions!$L:$L,Transactions!$I:$I,D98,Transactions!$D:$D,"EXPENSE",Transactions!$C:$C,"POSTED",Transactions!$B:$B,"&gt;="&amp;B98,Transactions!$B:$B,"&lt;"&amp;EDATE(B98,1))</x:f>
        <x:v>0</x:v>
      </x:c>
      <x:c r="H98" s="34" t="n">
        <x:f>F98-G98</x:f>
        <x:v>0</x:v>
      </x:c>
      <x:c r="I98" s="40" t="n">
        <x:f>IFERROR(G98/F98,0)</x:f>
        <x:v>0</x:v>
      </x:c>
      <x:c r="J98" s="34" t="str">
        <x:f>IF(B98="","",G98/MAX(1,DAY(MIN(TODAY(),EOMONTH(B98,0))))*DAY(EOMONTH(B98,0)))</x:f>
      </x:c>
      <x:c r="K98" s="32" t="str">
        <x:f>IF(F98="","",IF(I98&gt;=Settings!$B$13,"VƯỢT",IF(I98&gt;=Settings!$B$12,"CẢNH BÁO","BÌNH THƯỜNG")))</x:f>
      </x:c>
      <x:c r="L98" s="22"/>
    </x:row>
    <x:row r="99">
      <x:c r="A99" s="22"/>
      <x:c r="B99" s="38"/>
      <x:c r="C99" s="22"/>
      <x:c r="D99" s="22"/>
      <x:c r="E99" s="22"/>
      <x:c r="F99" s="24"/>
      <x:c r="G99" s="34" t="n">
        <x:f>SUMIFS(Transactions!$L:$L,Transactions!$I:$I,D99,Transactions!$D:$D,"EXPENSE",Transactions!$C:$C,"POSTED",Transactions!$B:$B,"&gt;="&amp;B99,Transactions!$B:$B,"&lt;"&amp;EDATE(B99,1))</x:f>
        <x:v>0</x:v>
      </x:c>
      <x:c r="H99" s="34" t="n">
        <x:f>F99-G99</x:f>
        <x:v>0</x:v>
      </x:c>
      <x:c r="I99" s="40" t="n">
        <x:f>IFERROR(G99/F99,0)</x:f>
        <x:v>0</x:v>
      </x:c>
      <x:c r="J99" s="34" t="str">
        <x:f>IF(B99="","",G99/MAX(1,DAY(MIN(TODAY(),EOMONTH(B99,0))))*DAY(EOMONTH(B99,0)))</x:f>
      </x:c>
      <x:c r="K99" s="32" t="str">
        <x:f>IF(F99="","",IF(I99&gt;=Settings!$B$13,"VƯỢT",IF(I99&gt;=Settings!$B$12,"CẢNH BÁO","BÌNH THƯỜNG")))</x:f>
      </x:c>
      <x:c r="L99" s="22"/>
    </x:row>
    <x:row r="100">
      <x:c r="A100" s="22"/>
      <x:c r="B100" s="38"/>
      <x:c r="C100" s="22"/>
      <x:c r="D100" s="22"/>
      <x:c r="E100" s="22"/>
      <x:c r="F100" s="24"/>
      <x:c r="G100" s="34" t="n">
        <x:f>SUMIFS(Transactions!$L:$L,Transactions!$I:$I,D100,Transactions!$D:$D,"EXPENSE",Transactions!$C:$C,"POSTED",Transactions!$B:$B,"&gt;="&amp;B100,Transactions!$B:$B,"&lt;"&amp;EDATE(B100,1))</x:f>
        <x:v>0</x:v>
      </x:c>
      <x:c r="H100" s="34" t="n">
        <x:f>F100-G100</x:f>
        <x:v>0</x:v>
      </x:c>
      <x:c r="I100" s="40" t="n">
        <x:f>IFERROR(G100/F100,0)</x:f>
        <x:v>0</x:v>
      </x:c>
      <x:c r="J100" s="34" t="str">
        <x:f>IF(B100="","",G100/MAX(1,DAY(MIN(TODAY(),EOMONTH(B100,0))))*DAY(EOMONTH(B100,0)))</x:f>
      </x:c>
      <x:c r="K100" s="32" t="str">
        <x:f>IF(F100="","",IF(I100&gt;=Settings!$B$13,"VƯỢT",IF(I100&gt;=Settings!$B$12,"CẢNH BÁO","BÌNH THƯỜNG")))</x:f>
      </x:c>
      <x:c r="L100" s="22"/>
    </x:row>
  </x:sheetData>
  <x:mergeCells>
    <x:mergeCell ref="A1:W1"/>
    <x:mergeCell ref="A2:W2"/>
  </x:mergeCells>
  <x:conditionalFormatting sqref="I5:I100">
    <x:cfRule type="dataBar" priority="1">
      <x:dataBar>
        <x:cfvo type="min"/>
        <x:cfvo type="max"/>
        <x:color rgb="FF1F4E78"/>
      </x:dataBar>
      <x:extLst>
        <x:ext xmlns:x14="http://schemas.microsoft.com/office/spreadsheetml/2009/9/main" uri="{B025F937-C7B1-47D3-B67F-A62EFF666E3E}">
          <x14:id>{C99B9CB7-4C9A-3EC0-3936-B252016CA168}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99B9CB7-4C9A-3EC0-3936-B252016CA168}">
            <x14:dataBar gradient="1">
              <x14:cfvo type="min"/>
              <x14:cfvo type="max"/>
              <x14:fillColor rgb="FF1F4E78"/>
            </x14:dataBar>
          </x14:cfRule>
          <xm:sqref>I5:I100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3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4" hidden="0" customWidth="1"/>
    <x:col min="8" max="8" width="17" hidden="0" customWidth="1"/>
    <x:col min="9" max="9" width="13" hidden="0" customWidth="1"/>
    <x:col min="10" max="10" width="18" hidden="0" customWidth="1"/>
    <x:col min="11" max="11" width="17" hidden="0" customWidth="1"/>
    <x:col min="12" max="12" width="15" hidden="0" customWidth="1"/>
    <x:col min="13" max="13" width="15" hidden="0" customWidth="1"/>
    <x:col min="14" max="14" width="16" hidden="0" customWidth="1"/>
    <x:col min="15" max="15" width="17" hidden="0" customWidth="1"/>
    <x:col min="16" max="16" width="16" hidden="0" customWidth="1"/>
    <x:col min="17" max="17" width="15" hidden="0" customWidth="1"/>
    <x:col min="18" max="18" width="18" hidden="0" customWidth="1"/>
    <x:col min="19" max="19" width="18" hidden="0" customWidth="1"/>
    <x:col min="20" max="20" width="17" hidden="0" customWidth="1"/>
    <x:col min="21" max="21" width="12" hidden="0" customWidth="1"/>
    <x:col min="22" max="22" width="18" hidden="0" customWidth="1"/>
    <x:col min="23" max="23" width="28" hidden="0" customWidth="1"/>
  </x:cols>
  <x:sheetData>
    <x:row r="1" ht="26" customHeight="1">
      <x:c r="A1" s="3" t="str">
        <x:v>MỤC TIÊU TÀI CHÍNH</x:v>
      </x:c>
    </x:row>
    <x:row r="2" ht="28" customHeight="1">
      <x:c r="A2" s="8" t="str">
        <x:v>Có thể kết hợp tiền tự có, vay người thân 0%, vay ưu đãi và vay thương mại.</x:v>
      </x:c>
    </x:row>
    <x:row r="4" ht="30" customHeight="1">
      <x:c r="A4" s="16" t="str">
        <x:v>Goal_ID</x:v>
      </x:c>
      <x:c r="B4" s="16" t="str">
        <x:v>Tên mục tiêu</x:v>
      </x:c>
      <x:c r="C4" s="16" t="str">
        <x:v>Nhóm</x:v>
      </x:c>
      <x:c r="D4" s="16" t="str">
        <x:v>Privacy_Tag</x:v>
      </x:c>
      <x:c r="E4" s="16" t="str">
        <x:v>Ưu tiên</x:v>
      </x:c>
      <x:c r="F4" s="16" t="str">
        <x:v>Bắt đầu</x:v>
      </x:c>
      <x:c r="G4" s="16" t="str">
        <x:v>Ngày mục tiêu</x:v>
      </x:c>
      <x:c r="H4" s="16" t="str">
        <x:v>Giá hiện tại</x:v>
      </x:c>
      <x:c r="I4" s="16" t="str">
        <x:v>Lạm phát</x:v>
      </x:c>
      <x:c r="J4" s="16" t="str">
        <x:v>Giá điều chỉnh</x:v>
      </x:c>
      <x:c r="K4" s="16" t="str">
        <x:v>Đã phân bổ</x:v>
      </x:c>
      <x:c r="L4" s="16" t="str">
        <x:v>Vay 0%</x:v>
      </x:c>
      <x:c r="M4" s="16" t="str">
        <x:v>Vay ưu đãi</x:v>
      </x:c>
      <x:c r="N4" s="16" t="str">
        <x:v>Vay thương mại</x:v>
      </x:c>
      <x:c r="O4" s="16" t="str">
        <x:v>Tổng nguồn</x:v>
      </x:c>
      <x:c r="P4" s="16" t="str">
        <x:v>Còn thiếu</x:v>
      </x:c>
      <x:c r="Q4" s="16" t="str">
        <x:v>Lợi suất kỳ vọng</x:v>
      </x:c>
      <x:c r="R4" s="16" t="str">
        <x:v>Đóng góp hiện tại/tháng</x:v>
      </x:c>
      <x:c r="S4" s="16" t="str">
        <x:v>Cần đóng/tháng</x:v>
      </x:c>
      <x:c r="T4" s="16" t="str">
        <x:v>Dự kiến hoàn thành</x:v>
      </x:c>
      <x:c r="U4" s="16" t="str">
        <x:v>Tiến độ</x:v>
      </x:c>
      <x:c r="V4" s="16" t="str">
        <x:v>Trạng thái</x:v>
      </x:c>
      <x:c r="W4" s="16" t="str">
        <x:v>Ghi chú</x:v>
      </x:c>
    </x:row>
    <x:row r="5">
      <x:c r="A5" s="22" t="str">
        <x:v>G001</x:v>
      </x:c>
      <x:c r="B5" s="22" t="str">
        <x:v>Sinh con</x:v>
      </x:c>
      <x:c r="C5" s="22" t="str">
        <x:v>FAMILY</x:v>
      </x:c>
      <x:c r="D5" s="22" t="str">
        <x:v>FAMILY</x:v>
      </x:c>
      <x:c r="E5" s="22" t="str">
        <x:v>CAO</x:v>
      </x:c>
      <x:c r="F5" s="28" t="n">
        <x:v>46204</x:v>
      </x:c>
      <x:c r="G5" s="28" t="n">
        <x:v>46752</x:v>
      </x:c>
      <x:c r="H5" s="24" t="n">
        <x:v>0</x:v>
      </x:c>
      <x:c r="I5" s="24" t="n">
        <x:v>0.05</x:v>
      </x:c>
      <x:c r="J5" s="34" t="str">
        <x:f>IF(H5="","",H5*(1+I5)^MAX(0,YEARFRAC(F5,G5)))</x:f>
      </x:c>
      <x:c r="K5" s="34" t="n">
        <x:f>SUMIFS(Goal_Allocations!$F:$F,Goal_Allocations!$C:$C,A5,Goal_Allocations!$G:$G,"POSTED")</x:f>
        <x:v>0</x:v>
      </x:c>
      <x:c r="L5" s="24" t="n">
        <x:v>0</x:v>
      </x:c>
      <x:c r="M5" s="24" t="n">
        <x:v>0</x:v>
      </x:c>
      <x:c r="N5" s="24" t="n">
        <x:v>0</x:v>
      </x:c>
      <x:c r="O5" s="36" t="n">
        <x:f>K5+L5+M5+N5</x:f>
        <x:v>0</x:v>
      </x:c>
      <x:c r="P5" s="36" t="n">
        <x:f>MAX(0,J5-O5)</x:f>
        <x:v>0</x:v>
      </x:c>
      <x:c r="Q5" s="26" t="str"/>
      <x:c r="R5" s="24" t="n">
        <x:v>0</x:v>
      </x:c>
      <x:c r="S5" s="36" t="n">
        <x:f>IF(OR(G5="",P5&lt;=0),0,IF(Q5=0,P5/MAX(1,DATEDIF(TODAY(),G5,"m")),PMT(Q5/12,MAX(1,DATEDIF(TODAY(),G5,"m")),0,-P5)))</x:f>
        <x:v>0</x:v>
      </x:c>
      <x:c r="T5" s="30" t="str">
        <x:f>IF(R5&lt;=0,"",EDATE(TODAY(),ROUNDUP(P5/R5,0)))</x:f>
      </x:c>
      <x:c r="U5" s="42" t="n">
        <x:f>IFERROR(O5/J5,0)</x:f>
        <x:v>0</x:v>
      </x:c>
      <x:c r="V5" t="str">
        <x:f>IF(J5="","",IF(O5&gt;=J5,"HOÀN THÀNH",IF(R5&gt;=S5,"ĐÚNG KẾ HOẠCH",IF(R5&gt;=S5*0.8,"NGUY CƠ CHẬM","KHÔNG ĐỦ NGUỒN"))))</x:f>
      </x:c>
      <x:c r="W5" s="22" t="str">
        <x:v>Chi phí theo tháng/năm</x:v>
      </x:c>
    </x:row>
    <x:row r="6">
      <x:c r="A6" s="22" t="str">
        <x:v>G002</x:v>
      </x:c>
      <x:c r="B6" s="22" t="str">
        <x:v>Mua nhà</x:v>
      </x:c>
      <x:c r="C6" s="22" t="str">
        <x:v>HOUSE</x:v>
      </x:c>
      <x:c r="D6" s="22" t="str">
        <x:v>FAMILY</x:v>
      </x:c>
      <x:c r="E6" s="22" t="str">
        <x:v>CAO</x:v>
      </x:c>
      <x:c r="F6" s="28" t="n">
        <x:v>46204</x:v>
      </x:c>
      <x:c r="G6" s="28" t="n">
        <x:v>47848</x:v>
      </x:c>
      <x:c r="H6" s="24" t="n">
        <x:v>0</x:v>
      </x:c>
      <x:c r="I6" s="24" t="n">
        <x:v>0.06</x:v>
      </x:c>
      <x:c r="J6" s="34" t="str">
        <x:f>IF(H6="","",H6*(1+I6)^MAX(0,YEARFRAC(F6,G6)))</x:f>
      </x:c>
      <x:c r="K6" s="34" t="n">
        <x:f>SUMIFS(Goal_Allocations!$F:$F,Goal_Allocations!$C:$C,A6,Goal_Allocations!$G:$G,"POSTED")</x:f>
        <x:v>0</x:v>
      </x:c>
      <x:c r="L6" s="24" t="n">
        <x:v>0</x:v>
      </x:c>
      <x:c r="M6" s="24" t="n">
        <x:v>0</x:v>
      </x:c>
      <x:c r="N6" s="24" t="n">
        <x:v>0</x:v>
      </x:c>
      <x:c r="O6" s="36" t="n">
        <x:f>K6+L6+M6+N6</x:f>
        <x:v>0</x:v>
      </x:c>
      <x:c r="P6" s="36" t="n">
        <x:f>MAX(0,J6-O6)</x:f>
        <x:v>0</x:v>
      </x:c>
      <x:c r="Q6" s="26" t="str"/>
      <x:c r="R6" s="24" t="n">
        <x:v>0</x:v>
      </x:c>
      <x:c r="S6" s="36" t="n">
        <x:f>IF(OR(G6="",P6&lt;=0),0,IF(Q6=0,P6/MAX(1,DATEDIF(TODAY(),G6,"m")),PMT(Q6/12,MAX(1,DATEDIF(TODAY(),G6,"m")),0,-P6)))</x:f>
        <x:v>0</x:v>
      </x:c>
      <x:c r="T6" s="30" t="str">
        <x:f>IF(R6&lt;=0,"",EDATE(TODAY(),ROUNDUP(P6/R6,0)))</x:f>
      </x:c>
      <x:c r="U6" s="42" t="n">
        <x:f>IFERROR(O6/J6,0)</x:f>
        <x:v>0</x:v>
      </x:c>
      <x:c r="V6" t="str">
        <x:f>IF(J6="","",IF(O6&gt;=J6,"HOÀN THÀNH",IF(R6&gt;=S6,"ĐÚNG KẾ HOẠCH",IF(R6&gt;=S6*0.8,"NGUY CƠ CHẬM","KHÔNG ĐỦ NGUỒN"))))</x:f>
      </x:c>
      <x:c r="W6" s="22" t="str">
        <x:v>Có vay ngân hàng</x:v>
      </x:c>
    </x:row>
    <x:row r="7">
      <x:c r="A7" s="22" t="str">
        <x:v>G003</x:v>
      </x:c>
      <x:c r="B7" s="22" t="str">
        <x:v>Đổi xe</x:v>
      </x:c>
      <x:c r="C7" s="22" t="str">
        <x:v>VEHICLE</x:v>
      </x:c>
      <x:c r="D7" s="22" t="str">
        <x:v>FAMILY</x:v>
      </x:c>
      <x:c r="E7" s="22" t="str">
        <x:v>TRUNG BÌNH</x:v>
      </x:c>
      <x:c r="F7" s="28" t="n">
        <x:v>46204</x:v>
      </x:c>
      <x:c r="G7" s="28" t="n">
        <x:v>47483</x:v>
      </x:c>
      <x:c r="H7" s="24" t="n">
        <x:v>0</x:v>
      </x:c>
      <x:c r="I7" s="24" t="n">
        <x:v>0.04</x:v>
      </x:c>
      <x:c r="J7" s="34" t="str">
        <x:f>IF(H7="","",H7*(1+I7)^MAX(0,YEARFRAC(F7,G7)))</x:f>
      </x:c>
      <x:c r="K7" s="34" t="n">
        <x:f>SUMIFS(Goal_Allocations!$F:$F,Goal_Allocations!$C:$C,A7,Goal_Allocations!$G:$G,"POSTED")</x:f>
        <x:v>0</x:v>
      </x:c>
      <x:c r="L7" s="24" t="n">
        <x:v>0</x:v>
      </x:c>
      <x:c r="M7" s="24" t="n">
        <x:v>0</x:v>
      </x:c>
      <x:c r="N7" s="24" t="n">
        <x:v>0</x:v>
      </x:c>
      <x:c r="O7" s="36" t="n">
        <x:f>K7+L7+M7+N7</x:f>
        <x:v>0</x:v>
      </x:c>
      <x:c r="P7" s="36" t="n">
        <x:f>MAX(0,J7-O7)</x:f>
        <x:v>0</x:v>
      </x:c>
      <x:c r="Q7" s="26" t="str"/>
      <x:c r="R7" s="24" t="n">
        <x:v>0</x:v>
      </x:c>
      <x:c r="S7" s="36" t="n">
        <x:f>IF(OR(G7="",P7&lt;=0),0,IF(Q7=0,P7/MAX(1,DATEDIF(TODAY(),G7,"m")),PMT(Q7/12,MAX(1,DATEDIF(TODAY(),G7,"m")),0,-P7)))</x:f>
        <x:v>0</x:v>
      </x:c>
      <x:c r="T7" s="30" t="str">
        <x:f>IF(R7&lt;=0,"",EDATE(TODAY(),ROUNDUP(P7/R7,0)))</x:f>
      </x:c>
      <x:c r="U7" s="42" t="n">
        <x:f>IFERROR(O7/J7,0)</x:f>
        <x:v>0</x:v>
      </x:c>
      <x:c r="V7" t="str">
        <x:f>IF(J7="","",IF(O7&gt;=J7,"HOÀN THÀNH",IF(R7&gt;=S7,"ĐÚNG KẾ HOẠCH",IF(R7&gt;=S7*0.8,"NGUY CƠ CHẬM","KHÔNG ĐỦ NGUỒN"))))</x:f>
      </x:c>
      <x:c r="W7" s="22" t="str">
        <x:v>Bù trừ giá bán xe cũ</x:v>
      </x:c>
    </x:row>
    <x:row r="8">
      <x:c r="A8" s="22" t="str">
        <x:v>G004</x:v>
      </x:c>
      <x:c r="B8" s="22" t="str">
        <x:v>Phát triển công việc</x:v>
      </x:c>
      <x:c r="C8" s="22" t="str">
        <x:v>BUSINESS</x:v>
      </x:c>
      <x:c r="D8" s="22" t="str">
        <x:v>PERSONAL</x:v>
      </x:c>
      <x:c r="E8" s="22" t="str">
        <x:v>CAO</x:v>
      </x:c>
      <x:c r="F8" s="28" t="n">
        <x:v>46204</x:v>
      </x:c>
      <x:c r="G8" s="28" t="n">
        <x:v>47118</x:v>
      </x:c>
      <x:c r="H8" s="24" t="n">
        <x:v>0</x:v>
      </x:c>
      <x:c r="I8" s="24" t="n">
        <x:v>0.03</x:v>
      </x:c>
      <x:c r="J8" s="34" t="str">
        <x:f>IF(H8="","",H8*(1+I8)^MAX(0,YEARFRAC(F8,G8)))</x:f>
      </x:c>
      <x:c r="K8" s="34" t="n">
        <x:f>SUMIFS(Goal_Allocations!$F:$F,Goal_Allocations!$C:$C,A8,Goal_Allocations!$G:$G,"POSTED")</x:f>
        <x:v>0</x:v>
      </x:c>
      <x:c r="L8" s="24" t="n">
        <x:v>0</x:v>
      </x:c>
      <x:c r="M8" s="24" t="n">
        <x:v>0</x:v>
      </x:c>
      <x:c r="N8" s="24" t="n">
        <x:v>0</x:v>
      </x:c>
      <x:c r="O8" s="36" t="n">
        <x:f>K8+L8+M8+N8</x:f>
        <x:v>0</x:v>
      </x:c>
      <x:c r="P8" s="36" t="n">
        <x:f>MAX(0,J8-O8)</x:f>
        <x:v>0</x:v>
      </x:c>
      <x:c r="Q8" s="26" t="str"/>
      <x:c r="R8" s="24" t="n">
        <x:v>0</x:v>
      </x:c>
      <x:c r="S8" s="36" t="n">
        <x:f>IF(OR(G8="",P8&lt;=0),0,IF(Q8=0,P8/MAX(1,DATEDIF(TODAY(),G8,"m")),PMT(Q8/12,MAX(1,DATEDIF(TODAY(),G8,"m")),0,-P8)))</x:f>
        <x:v>0</x:v>
      </x:c>
      <x:c r="T8" s="30" t="str">
        <x:f>IF(R8&lt;=0,"",EDATE(TODAY(),ROUNDUP(P8/R8,0)))</x:f>
      </x:c>
      <x:c r="U8" s="42" t="n">
        <x:f>IFERROR(O8/J8,0)</x:f>
        <x:v>0</x:v>
      </x:c>
      <x:c r="V8" t="str">
        <x:f>IF(J8="","",IF(O8&gt;=J8,"HOÀN THÀNH",IF(R8&gt;=S8,"ĐÚNG KẾ HOẠCH",IF(R8&gt;=S8*0.8,"NGUY CƠ CHẬM","KHÔNG ĐỦ NGUỒN"))))</x:f>
      </x:c>
      <x:c r="W8" s="22" t="str">
        <x:v>Mục tiêu tăng thu nhập</x:v>
      </x:c>
    </x:row>
    <x:row r="9">
      <x:c r="A9" s="22"/>
      <x:c r="B9" s="22"/>
      <x:c r="C9" s="22"/>
      <x:c r="D9" s="22"/>
      <x:c r="E9" s="22"/>
      <x:c r="F9" s="28"/>
      <x:c r="G9" s="28"/>
      <x:c r="H9" s="24"/>
      <x:c r="I9" s="24"/>
      <x:c r="J9" s="34" t="str">
        <x:f>IF(H9="","",H9*(1+I9)^MAX(0,YEARFRAC(F9,G9)))</x:f>
      </x:c>
      <x:c r="K9" s="34" t="n">
        <x:f>SUMIFS(Goal_Allocations!$F:$F,Goal_Allocations!$C:$C,A9,Goal_Allocations!$G:$G,"POSTED")</x:f>
        <x:v>0</x:v>
      </x:c>
      <x:c r="L9" s="24"/>
      <x:c r="M9" s="24"/>
      <x:c r="N9" s="24"/>
      <x:c r="O9" s="36" t="n">
        <x:f>K9+L9+M9+N9</x:f>
        <x:v>0</x:v>
      </x:c>
      <x:c r="P9" s="36" t="n">
        <x:f>MAX(0,J9-O9)</x:f>
        <x:v>0</x:v>
      </x:c>
      <x:c r="Q9" s="26"/>
      <x:c r="R9" s="24"/>
      <x:c r="S9" s="36" t="n">
        <x:f>IF(OR(G9="",P9&lt;=0),0,IF(Q9=0,P9/MAX(1,DATEDIF(TODAY(),G9,"m")),PMT(Q9/12,MAX(1,DATEDIF(TODAY(),G9,"m")),0,-P9)))</x:f>
        <x:v>0</x:v>
      </x:c>
      <x:c r="T9" s="30" t="str">
        <x:f>IF(R9&lt;=0,"",EDATE(TODAY(),ROUNDUP(P9/R9,0)))</x:f>
      </x:c>
      <x:c r="U9" s="42" t="n">
        <x:f>IFERROR(O9/J9,0)</x:f>
        <x:v>0</x:v>
      </x:c>
      <x:c r="V9" t="str">
        <x:f>IF(J9="","",IF(O9&gt;=J9,"HOÀN THÀNH",IF(R9&gt;=S9,"ĐÚNG KẾ HOẠCH",IF(R9&gt;=S9*0.8,"NGUY CƠ CHẬM","KHÔNG ĐỦ NGUỒN"))))</x:f>
      </x:c>
      <x:c r="W9" s="22"/>
    </x:row>
    <x:row r="10">
      <x:c r="A10" s="22"/>
      <x:c r="B10" s="22"/>
      <x:c r="C10" s="22"/>
      <x:c r="D10" s="22"/>
      <x:c r="E10" s="22"/>
      <x:c r="F10" s="28"/>
      <x:c r="G10" s="28"/>
      <x:c r="H10" s="24"/>
      <x:c r="I10" s="24"/>
      <x:c r="J10" s="34" t="str">
        <x:f>IF(H10="","",H10*(1+I10)^MAX(0,YEARFRAC(F10,G10)))</x:f>
      </x:c>
      <x:c r="K10" s="34" t="n">
        <x:f>SUMIFS(Goal_Allocations!$F:$F,Goal_Allocations!$C:$C,A10,Goal_Allocations!$G:$G,"POSTED")</x:f>
        <x:v>0</x:v>
      </x:c>
      <x:c r="L10" s="24"/>
      <x:c r="M10" s="24"/>
      <x:c r="N10" s="24"/>
      <x:c r="O10" s="36" t="n">
        <x:f>K10+L10+M10+N10</x:f>
        <x:v>0</x:v>
      </x:c>
      <x:c r="P10" s="36" t="n">
        <x:f>MAX(0,J10-O10)</x:f>
        <x:v>0</x:v>
      </x:c>
      <x:c r="Q10" s="26"/>
      <x:c r="R10" s="24"/>
      <x:c r="S10" s="36" t="n">
        <x:f>IF(OR(G10="",P10&lt;=0),0,IF(Q10=0,P10/MAX(1,DATEDIF(TODAY(),G10,"m")),PMT(Q10/12,MAX(1,DATEDIF(TODAY(),G10,"m")),0,-P10)))</x:f>
        <x:v>0</x:v>
      </x:c>
      <x:c r="T10" s="30" t="str">
        <x:f>IF(R10&lt;=0,"",EDATE(TODAY(),ROUNDUP(P10/R10,0)))</x:f>
      </x:c>
      <x:c r="U10" s="42" t="n">
        <x:f>IFERROR(O10/J10,0)</x:f>
        <x:v>0</x:v>
      </x:c>
      <x:c r="V10" t="str">
        <x:f>IF(J10="","",IF(O10&gt;=J10,"HOÀN THÀNH",IF(R10&gt;=S10,"ĐÚNG KẾ HOẠCH",IF(R10&gt;=S10*0.8,"NGUY CƠ CHẬM","KHÔNG ĐỦ NGUỒN"))))</x:f>
      </x:c>
      <x:c r="W10" s="22"/>
    </x:row>
    <x:row r="11">
      <x:c r="A11" s="22"/>
      <x:c r="B11" s="22"/>
      <x:c r="C11" s="22"/>
      <x:c r="D11" s="22"/>
      <x:c r="E11" s="22"/>
      <x:c r="F11" s="28"/>
      <x:c r="G11" s="28"/>
      <x:c r="H11" s="24"/>
      <x:c r="I11" s="24"/>
      <x:c r="J11" s="34" t="str">
        <x:f>IF(H11="","",H11*(1+I11)^MAX(0,YEARFRAC(F11,G11)))</x:f>
      </x:c>
      <x:c r="K11" s="34" t="n">
        <x:f>SUMIFS(Goal_Allocations!$F:$F,Goal_Allocations!$C:$C,A11,Goal_Allocations!$G:$G,"POSTED")</x:f>
        <x:v>0</x:v>
      </x:c>
      <x:c r="L11" s="24"/>
      <x:c r="M11" s="24"/>
      <x:c r="N11" s="24"/>
      <x:c r="O11" s="36" t="n">
        <x:f>K11+L11+M11+N11</x:f>
        <x:v>0</x:v>
      </x:c>
      <x:c r="P11" s="36" t="n">
        <x:f>MAX(0,J11-O11)</x:f>
        <x:v>0</x:v>
      </x:c>
      <x:c r="Q11" s="26"/>
      <x:c r="R11" s="24"/>
      <x:c r="S11" s="36" t="n">
        <x:f>IF(OR(G11="",P11&lt;=0),0,IF(Q11=0,P11/MAX(1,DATEDIF(TODAY(),G11,"m")),PMT(Q11/12,MAX(1,DATEDIF(TODAY(),G11,"m")),0,-P11)))</x:f>
        <x:v>0</x:v>
      </x:c>
      <x:c r="T11" s="30" t="str">
        <x:f>IF(R11&lt;=0,"",EDATE(TODAY(),ROUNDUP(P11/R11,0)))</x:f>
      </x:c>
      <x:c r="U11" s="42" t="n">
        <x:f>IFERROR(O11/J11,0)</x:f>
        <x:v>0</x:v>
      </x:c>
      <x:c r="V11" t="str">
        <x:f>IF(J11="","",IF(O11&gt;=J11,"HOÀN THÀNH",IF(R11&gt;=S11,"ĐÚNG KẾ HOẠCH",IF(R11&gt;=S11*0.8,"NGUY CƠ CHẬM","KHÔNG ĐỦ NGUỒN"))))</x:f>
      </x:c>
      <x:c r="W11" s="22"/>
    </x:row>
    <x:row r="12">
      <x:c r="A12" s="22"/>
      <x:c r="B12" s="22"/>
      <x:c r="C12" s="22"/>
      <x:c r="D12" s="22"/>
      <x:c r="E12" s="22"/>
      <x:c r="F12" s="28"/>
      <x:c r="G12" s="28"/>
      <x:c r="H12" s="24"/>
      <x:c r="I12" s="24"/>
      <x:c r="J12" s="34" t="str">
        <x:f>IF(H12="","",H12*(1+I12)^MAX(0,YEARFRAC(F12,G12)))</x:f>
      </x:c>
      <x:c r="K12" s="34" t="n">
        <x:f>SUMIFS(Goal_Allocations!$F:$F,Goal_Allocations!$C:$C,A12,Goal_Allocations!$G:$G,"POSTED")</x:f>
        <x:v>0</x:v>
      </x:c>
      <x:c r="L12" s="24"/>
      <x:c r="M12" s="24"/>
      <x:c r="N12" s="24"/>
      <x:c r="O12" s="36" t="n">
        <x:f>K12+L12+M12+N12</x:f>
        <x:v>0</x:v>
      </x:c>
      <x:c r="P12" s="36" t="n">
        <x:f>MAX(0,J12-O12)</x:f>
        <x:v>0</x:v>
      </x:c>
      <x:c r="Q12" s="26"/>
      <x:c r="R12" s="24"/>
      <x:c r="S12" s="36" t="n">
        <x:f>IF(OR(G12="",P12&lt;=0),0,IF(Q12=0,P12/MAX(1,DATEDIF(TODAY(),G12,"m")),PMT(Q12/12,MAX(1,DATEDIF(TODAY(),G12,"m")),0,-P12)))</x:f>
        <x:v>0</x:v>
      </x:c>
      <x:c r="T12" s="30" t="str">
        <x:f>IF(R12&lt;=0,"",EDATE(TODAY(),ROUNDUP(P12/R12,0)))</x:f>
      </x:c>
      <x:c r="U12" s="42" t="n">
        <x:f>IFERROR(O12/J12,0)</x:f>
        <x:v>0</x:v>
      </x:c>
      <x:c r="V12" t="str">
        <x:f>IF(J12="","",IF(O12&gt;=J12,"HOÀN THÀNH",IF(R12&gt;=S12,"ĐÚNG KẾ HOẠCH",IF(R12&gt;=S12*0.8,"NGUY CƠ CHẬM","KHÔNG ĐỦ NGUỒN"))))</x:f>
      </x:c>
      <x:c r="W12" s="22"/>
    </x:row>
    <x:row r="13">
      <x:c r="A13" s="22"/>
      <x:c r="B13" s="22"/>
      <x:c r="C13" s="22"/>
      <x:c r="D13" s="22"/>
      <x:c r="E13" s="22"/>
      <x:c r="F13" s="28"/>
      <x:c r="G13" s="28"/>
      <x:c r="H13" s="24"/>
      <x:c r="I13" s="24"/>
      <x:c r="J13" s="34" t="str">
        <x:f>IF(H13="","",H13*(1+I13)^MAX(0,YEARFRAC(F13,G13)))</x:f>
      </x:c>
      <x:c r="K13" s="34" t="n">
        <x:f>SUMIFS(Goal_Allocations!$F:$F,Goal_Allocations!$C:$C,A13,Goal_Allocations!$G:$G,"POSTED")</x:f>
        <x:v>0</x:v>
      </x:c>
      <x:c r="L13" s="24"/>
      <x:c r="M13" s="24"/>
      <x:c r="N13" s="24"/>
      <x:c r="O13" s="36" t="n">
        <x:f>K13+L13+M13+N13</x:f>
        <x:v>0</x:v>
      </x:c>
      <x:c r="P13" s="36" t="n">
        <x:f>MAX(0,J13-O13)</x:f>
        <x:v>0</x:v>
      </x:c>
      <x:c r="Q13" s="26"/>
      <x:c r="R13" s="24"/>
      <x:c r="S13" s="36" t="n">
        <x:f>IF(OR(G13="",P13&lt;=0),0,IF(Q13=0,P13/MAX(1,DATEDIF(TODAY(),G13,"m")),PMT(Q13/12,MAX(1,DATEDIF(TODAY(),G13,"m")),0,-P13)))</x:f>
        <x:v>0</x:v>
      </x:c>
      <x:c r="T13" s="30" t="str">
        <x:f>IF(R13&lt;=0,"",EDATE(TODAY(),ROUNDUP(P13/R13,0)))</x:f>
      </x:c>
      <x:c r="U13" s="42" t="n">
        <x:f>IFERROR(O13/J13,0)</x:f>
        <x:v>0</x:v>
      </x:c>
      <x:c r="V13" t="str">
        <x:f>IF(J13="","",IF(O13&gt;=J13,"HOÀN THÀNH",IF(R13&gt;=S13,"ĐÚNG KẾ HOẠCH",IF(R13&gt;=S13*0.8,"NGUY CƠ CHẬM","KHÔNG ĐỦ NGUỒN"))))</x:f>
      </x:c>
      <x:c r="W13" s="22"/>
    </x:row>
    <x:row r="14">
      <x:c r="A14" s="22"/>
      <x:c r="B14" s="22"/>
      <x:c r="C14" s="22"/>
      <x:c r="D14" s="22"/>
      <x:c r="E14" s="22"/>
      <x:c r="F14" s="28"/>
      <x:c r="G14" s="28"/>
      <x:c r="H14" s="24"/>
      <x:c r="I14" s="24"/>
      <x:c r="J14" s="34" t="str">
        <x:f>IF(H14="","",H14*(1+I14)^MAX(0,YEARFRAC(F14,G14)))</x:f>
      </x:c>
      <x:c r="K14" s="34" t="n">
        <x:f>SUMIFS(Goal_Allocations!$F:$F,Goal_Allocations!$C:$C,A14,Goal_Allocations!$G:$G,"POSTED")</x:f>
        <x:v>0</x:v>
      </x:c>
      <x:c r="L14" s="24"/>
      <x:c r="M14" s="24"/>
      <x:c r="N14" s="24"/>
      <x:c r="O14" s="36" t="n">
        <x:f>K14+L14+M14+N14</x:f>
        <x:v>0</x:v>
      </x:c>
      <x:c r="P14" s="36" t="n">
        <x:f>MAX(0,J14-O14)</x:f>
        <x:v>0</x:v>
      </x:c>
      <x:c r="Q14" s="26"/>
      <x:c r="R14" s="24"/>
      <x:c r="S14" s="36" t="n">
        <x:f>IF(OR(G14="",P14&lt;=0),0,IF(Q14=0,P14/MAX(1,DATEDIF(TODAY(),G14,"m")),PMT(Q14/12,MAX(1,DATEDIF(TODAY(),G14,"m")),0,-P14)))</x:f>
        <x:v>0</x:v>
      </x:c>
      <x:c r="T14" s="30" t="str">
        <x:f>IF(R14&lt;=0,"",EDATE(TODAY(),ROUNDUP(P14/R14,0)))</x:f>
      </x:c>
      <x:c r="U14" s="42" t="n">
        <x:f>IFERROR(O14/J14,0)</x:f>
        <x:v>0</x:v>
      </x:c>
      <x:c r="V14" t="str">
        <x:f>IF(J14="","",IF(O14&gt;=J14,"HOÀN THÀNH",IF(R14&gt;=S14,"ĐÚNG KẾ HOẠCH",IF(R14&gt;=S14*0.8,"NGUY CƠ CHẬM","KHÔNG ĐỦ NGUỒN"))))</x:f>
      </x:c>
      <x:c r="W14" s="22"/>
    </x:row>
    <x:row r="15">
      <x:c r="A15" s="22"/>
      <x:c r="B15" s="22"/>
      <x:c r="C15" s="22"/>
      <x:c r="D15" s="22"/>
      <x:c r="E15" s="22"/>
      <x:c r="F15" s="28"/>
      <x:c r="G15" s="28"/>
      <x:c r="H15" s="24"/>
      <x:c r="I15" s="24"/>
      <x:c r="J15" s="34" t="str">
        <x:f>IF(H15="","",H15*(1+I15)^MAX(0,YEARFRAC(F15,G15)))</x:f>
      </x:c>
      <x:c r="K15" s="34" t="n">
        <x:f>SUMIFS(Goal_Allocations!$F:$F,Goal_Allocations!$C:$C,A15,Goal_Allocations!$G:$G,"POSTED")</x:f>
        <x:v>0</x:v>
      </x:c>
      <x:c r="L15" s="24"/>
      <x:c r="M15" s="24"/>
      <x:c r="N15" s="24"/>
      <x:c r="O15" s="36" t="n">
        <x:f>K15+L15+M15+N15</x:f>
        <x:v>0</x:v>
      </x:c>
      <x:c r="P15" s="36" t="n">
        <x:f>MAX(0,J15-O15)</x:f>
        <x:v>0</x:v>
      </x:c>
      <x:c r="Q15" s="26"/>
      <x:c r="R15" s="24"/>
      <x:c r="S15" s="36" t="n">
        <x:f>IF(OR(G15="",P15&lt;=0),0,IF(Q15=0,P15/MAX(1,DATEDIF(TODAY(),G15,"m")),PMT(Q15/12,MAX(1,DATEDIF(TODAY(),G15,"m")),0,-P15)))</x:f>
        <x:v>0</x:v>
      </x:c>
      <x:c r="T15" s="30" t="str">
        <x:f>IF(R15&lt;=0,"",EDATE(TODAY(),ROUNDUP(P15/R15,0)))</x:f>
      </x:c>
      <x:c r="U15" s="42" t="n">
        <x:f>IFERROR(O15/J15,0)</x:f>
        <x:v>0</x:v>
      </x:c>
      <x:c r="V15" t="str">
        <x:f>IF(J15="","",IF(O15&gt;=J15,"HOÀN THÀNH",IF(R15&gt;=S15,"ĐÚNG KẾ HOẠCH",IF(R15&gt;=S15*0.8,"NGUY CƠ CHẬM","KHÔNG ĐỦ NGUỒN"))))</x:f>
      </x:c>
      <x:c r="W15" s="22"/>
    </x:row>
    <x:row r="16">
      <x:c r="A16" s="22"/>
      <x:c r="B16" s="22"/>
      <x:c r="C16" s="22"/>
      <x:c r="D16" s="22"/>
      <x:c r="E16" s="22"/>
      <x:c r="F16" s="28"/>
      <x:c r="G16" s="28"/>
      <x:c r="H16" s="24"/>
      <x:c r="I16" s="24"/>
      <x:c r="J16" s="34" t="str">
        <x:f>IF(H16="","",H16*(1+I16)^MAX(0,YEARFRAC(F16,G16)))</x:f>
      </x:c>
      <x:c r="K16" s="34" t="n">
        <x:f>SUMIFS(Goal_Allocations!$F:$F,Goal_Allocations!$C:$C,A16,Goal_Allocations!$G:$G,"POSTED")</x:f>
        <x:v>0</x:v>
      </x:c>
      <x:c r="L16" s="24"/>
      <x:c r="M16" s="24"/>
      <x:c r="N16" s="24"/>
      <x:c r="O16" s="36" t="n">
        <x:f>K16+L16+M16+N16</x:f>
        <x:v>0</x:v>
      </x:c>
      <x:c r="P16" s="36" t="n">
        <x:f>MAX(0,J16-O16)</x:f>
        <x:v>0</x:v>
      </x:c>
      <x:c r="Q16" s="26"/>
      <x:c r="R16" s="24"/>
      <x:c r="S16" s="36" t="n">
        <x:f>IF(OR(G16="",P16&lt;=0),0,IF(Q16=0,P16/MAX(1,DATEDIF(TODAY(),G16,"m")),PMT(Q16/12,MAX(1,DATEDIF(TODAY(),G16,"m")),0,-P16)))</x:f>
        <x:v>0</x:v>
      </x:c>
      <x:c r="T16" s="30" t="str">
        <x:f>IF(R16&lt;=0,"",EDATE(TODAY(),ROUNDUP(P16/R16,0)))</x:f>
      </x:c>
      <x:c r="U16" s="42" t="n">
        <x:f>IFERROR(O16/J16,0)</x:f>
        <x:v>0</x:v>
      </x:c>
      <x:c r="V16" t="str">
        <x:f>IF(J16="","",IF(O16&gt;=J16,"HOÀN THÀNH",IF(R16&gt;=S16,"ĐÚNG KẾ HOẠCH",IF(R16&gt;=S16*0.8,"NGUY CƠ CHẬM","KHÔNG ĐỦ NGUỒN"))))</x:f>
      </x:c>
      <x:c r="W16" s="22"/>
    </x:row>
    <x:row r="17">
      <x:c r="A17" s="22"/>
      <x:c r="B17" s="22"/>
      <x:c r="C17" s="22"/>
      <x:c r="D17" s="22"/>
      <x:c r="E17" s="22"/>
      <x:c r="F17" s="28"/>
      <x:c r="G17" s="28"/>
      <x:c r="H17" s="24"/>
      <x:c r="I17" s="24"/>
      <x:c r="J17" s="34" t="str">
        <x:f>IF(H17="","",H17*(1+I17)^MAX(0,YEARFRAC(F17,G17)))</x:f>
      </x:c>
      <x:c r="K17" s="34" t="n">
        <x:f>SUMIFS(Goal_Allocations!$F:$F,Goal_Allocations!$C:$C,A17,Goal_Allocations!$G:$G,"POSTED")</x:f>
        <x:v>0</x:v>
      </x:c>
      <x:c r="L17" s="24"/>
      <x:c r="M17" s="24"/>
      <x:c r="N17" s="24"/>
      <x:c r="O17" s="36" t="n">
        <x:f>K17+L17+M17+N17</x:f>
        <x:v>0</x:v>
      </x:c>
      <x:c r="P17" s="36" t="n">
        <x:f>MAX(0,J17-O17)</x:f>
        <x:v>0</x:v>
      </x:c>
      <x:c r="Q17" s="26"/>
      <x:c r="R17" s="24"/>
      <x:c r="S17" s="36" t="n">
        <x:f>IF(OR(G17="",P17&lt;=0),0,IF(Q17=0,P17/MAX(1,DATEDIF(TODAY(),G17,"m")),PMT(Q17/12,MAX(1,DATEDIF(TODAY(),G17,"m")),0,-P17)))</x:f>
        <x:v>0</x:v>
      </x:c>
      <x:c r="T17" s="30" t="str">
        <x:f>IF(R17&lt;=0,"",EDATE(TODAY(),ROUNDUP(P17/R17,0)))</x:f>
      </x:c>
      <x:c r="U17" s="42" t="n">
        <x:f>IFERROR(O17/J17,0)</x:f>
        <x:v>0</x:v>
      </x:c>
      <x:c r="V17" t="str">
        <x:f>IF(J17="","",IF(O17&gt;=J17,"HOÀN THÀNH",IF(R17&gt;=S17,"ĐÚNG KẾ HOẠCH",IF(R17&gt;=S17*0.8,"NGUY CƠ CHẬM","KHÔNG ĐỦ NGUỒN"))))</x:f>
      </x:c>
      <x:c r="W17" s="22"/>
    </x:row>
    <x:row r="18">
      <x:c r="A18" s="22"/>
      <x:c r="B18" s="22"/>
      <x:c r="C18" s="22"/>
      <x:c r="D18" s="22"/>
      <x:c r="E18" s="22"/>
      <x:c r="F18" s="28"/>
      <x:c r="G18" s="28"/>
      <x:c r="H18" s="24"/>
      <x:c r="I18" s="24"/>
      <x:c r="J18" s="34" t="str">
        <x:f>IF(H18="","",H18*(1+I18)^MAX(0,YEARFRAC(F18,G18)))</x:f>
      </x:c>
      <x:c r="K18" s="34" t="n">
        <x:f>SUMIFS(Goal_Allocations!$F:$F,Goal_Allocations!$C:$C,A18,Goal_Allocations!$G:$G,"POSTED")</x:f>
        <x:v>0</x:v>
      </x:c>
      <x:c r="L18" s="24"/>
      <x:c r="M18" s="24"/>
      <x:c r="N18" s="24"/>
      <x:c r="O18" s="36" t="n">
        <x:f>K18+L18+M18+N18</x:f>
        <x:v>0</x:v>
      </x:c>
      <x:c r="P18" s="36" t="n">
        <x:f>MAX(0,J18-O18)</x:f>
        <x:v>0</x:v>
      </x:c>
      <x:c r="Q18" s="26"/>
      <x:c r="R18" s="24"/>
      <x:c r="S18" s="36" t="n">
        <x:f>IF(OR(G18="",P18&lt;=0),0,IF(Q18=0,P18/MAX(1,DATEDIF(TODAY(),G18,"m")),PMT(Q18/12,MAX(1,DATEDIF(TODAY(),G18,"m")),0,-P18)))</x:f>
        <x:v>0</x:v>
      </x:c>
      <x:c r="T18" s="30" t="str">
        <x:f>IF(R18&lt;=0,"",EDATE(TODAY(),ROUNDUP(P18/R18,0)))</x:f>
      </x:c>
      <x:c r="U18" s="42" t="n">
        <x:f>IFERROR(O18/J18,0)</x:f>
        <x:v>0</x:v>
      </x:c>
      <x:c r="V18" t="str">
        <x:f>IF(J18="","",IF(O18&gt;=J18,"HOÀN THÀNH",IF(R18&gt;=S18,"ĐÚNG KẾ HOẠCH",IF(R18&gt;=S18*0.8,"NGUY CƠ CHẬM","KHÔNG ĐỦ NGUỒN"))))</x:f>
      </x:c>
      <x:c r="W18" s="22"/>
    </x:row>
    <x:row r="19">
      <x:c r="A19" s="22"/>
      <x:c r="B19" s="22"/>
      <x:c r="C19" s="22"/>
      <x:c r="D19" s="22"/>
      <x:c r="E19" s="22"/>
      <x:c r="F19" s="28"/>
      <x:c r="G19" s="28"/>
      <x:c r="H19" s="24"/>
      <x:c r="I19" s="24"/>
      <x:c r="J19" s="34" t="str">
        <x:f>IF(H19="","",H19*(1+I19)^MAX(0,YEARFRAC(F19,G19)))</x:f>
      </x:c>
      <x:c r="K19" s="34" t="n">
        <x:f>SUMIFS(Goal_Allocations!$F:$F,Goal_Allocations!$C:$C,A19,Goal_Allocations!$G:$G,"POSTED")</x:f>
        <x:v>0</x:v>
      </x:c>
      <x:c r="L19" s="24"/>
      <x:c r="M19" s="24"/>
      <x:c r="N19" s="24"/>
      <x:c r="O19" s="36" t="n">
        <x:f>K19+L19+M19+N19</x:f>
        <x:v>0</x:v>
      </x:c>
      <x:c r="P19" s="36" t="n">
        <x:f>MAX(0,J19-O19)</x:f>
        <x:v>0</x:v>
      </x:c>
      <x:c r="Q19" s="26"/>
      <x:c r="R19" s="24"/>
      <x:c r="S19" s="36" t="n">
        <x:f>IF(OR(G19="",P19&lt;=0),0,IF(Q19=0,P19/MAX(1,DATEDIF(TODAY(),G19,"m")),PMT(Q19/12,MAX(1,DATEDIF(TODAY(),G19,"m")),0,-P19)))</x:f>
        <x:v>0</x:v>
      </x:c>
      <x:c r="T19" s="30" t="str">
        <x:f>IF(R19&lt;=0,"",EDATE(TODAY(),ROUNDUP(P19/R19,0)))</x:f>
      </x:c>
      <x:c r="U19" s="42" t="n">
        <x:f>IFERROR(O19/J19,0)</x:f>
        <x:v>0</x:v>
      </x:c>
      <x:c r="V19" t="str">
        <x:f>IF(J19="","",IF(O19&gt;=J19,"HOÀN THÀNH",IF(R19&gt;=S19,"ĐÚNG KẾ HOẠCH",IF(R19&gt;=S19*0.8,"NGUY CƠ CHẬM","KHÔNG ĐỦ NGUỒN"))))</x:f>
      </x:c>
      <x:c r="W19" s="22"/>
    </x:row>
    <x:row r="20">
      <x:c r="A20" s="22"/>
      <x:c r="B20" s="22"/>
      <x:c r="C20" s="22"/>
      <x:c r="D20" s="22"/>
      <x:c r="E20" s="22"/>
      <x:c r="F20" s="28"/>
      <x:c r="G20" s="28"/>
      <x:c r="H20" s="24"/>
      <x:c r="I20" s="24"/>
      <x:c r="J20" s="34" t="str">
        <x:f>IF(H20="","",H20*(1+I20)^MAX(0,YEARFRAC(F20,G20)))</x:f>
      </x:c>
      <x:c r="K20" s="34" t="n">
        <x:f>SUMIFS(Goal_Allocations!$F:$F,Goal_Allocations!$C:$C,A20,Goal_Allocations!$G:$G,"POSTED")</x:f>
        <x:v>0</x:v>
      </x:c>
      <x:c r="L20" s="24"/>
      <x:c r="M20" s="24"/>
      <x:c r="N20" s="24"/>
      <x:c r="O20" s="36" t="n">
        <x:f>K20+L20+M20+N20</x:f>
        <x:v>0</x:v>
      </x:c>
      <x:c r="P20" s="36" t="n">
        <x:f>MAX(0,J20-O20)</x:f>
        <x:v>0</x:v>
      </x:c>
      <x:c r="Q20" s="26"/>
      <x:c r="R20" s="24"/>
      <x:c r="S20" s="36" t="n">
        <x:f>IF(OR(G20="",P20&lt;=0),0,IF(Q20=0,P20/MAX(1,DATEDIF(TODAY(),G20,"m")),PMT(Q20/12,MAX(1,DATEDIF(TODAY(),G20,"m")),0,-P20)))</x:f>
        <x:v>0</x:v>
      </x:c>
      <x:c r="T20" s="30" t="str">
        <x:f>IF(R20&lt;=0,"",EDATE(TODAY(),ROUNDUP(P20/R20,0)))</x:f>
      </x:c>
      <x:c r="U20" s="42" t="n">
        <x:f>IFERROR(O20/J20,0)</x:f>
        <x:v>0</x:v>
      </x:c>
      <x:c r="V20" t="str">
        <x:f>IF(J20="","",IF(O20&gt;=J20,"HOÀN THÀNH",IF(R20&gt;=S20,"ĐÚNG KẾ HOẠCH",IF(R20&gt;=S20*0.8,"NGUY CƠ CHẬM","KHÔNG ĐỦ NGUỒN"))))</x:f>
      </x:c>
      <x:c r="W20" s="22"/>
    </x:row>
    <x:row r="21">
      <x:c r="A21" s="22"/>
      <x:c r="B21" s="22"/>
      <x:c r="C21" s="22"/>
      <x:c r="D21" s="22"/>
      <x:c r="E21" s="22"/>
      <x:c r="F21" s="28"/>
      <x:c r="G21" s="28"/>
      <x:c r="H21" s="24"/>
      <x:c r="I21" s="24"/>
      <x:c r="J21" s="34" t="str">
        <x:f>IF(H21="","",H21*(1+I21)^MAX(0,YEARFRAC(F21,G21)))</x:f>
      </x:c>
      <x:c r="K21" s="34" t="n">
        <x:f>SUMIFS(Goal_Allocations!$F:$F,Goal_Allocations!$C:$C,A21,Goal_Allocations!$G:$G,"POSTED")</x:f>
        <x:v>0</x:v>
      </x:c>
      <x:c r="L21" s="24"/>
      <x:c r="M21" s="24"/>
      <x:c r="N21" s="24"/>
      <x:c r="O21" s="36" t="n">
        <x:f>K21+L21+M21+N21</x:f>
        <x:v>0</x:v>
      </x:c>
      <x:c r="P21" s="36" t="n">
        <x:f>MAX(0,J21-O21)</x:f>
        <x:v>0</x:v>
      </x:c>
      <x:c r="Q21" s="26"/>
      <x:c r="R21" s="24"/>
      <x:c r="S21" s="36" t="n">
        <x:f>IF(OR(G21="",P21&lt;=0),0,IF(Q21=0,P21/MAX(1,DATEDIF(TODAY(),G21,"m")),PMT(Q21/12,MAX(1,DATEDIF(TODAY(),G21,"m")),0,-P21)))</x:f>
        <x:v>0</x:v>
      </x:c>
      <x:c r="T21" s="30" t="str">
        <x:f>IF(R21&lt;=0,"",EDATE(TODAY(),ROUNDUP(P21/R21,0)))</x:f>
      </x:c>
      <x:c r="U21" s="42" t="n">
        <x:f>IFERROR(O21/J21,0)</x:f>
        <x:v>0</x:v>
      </x:c>
      <x:c r="V21" t="str">
        <x:f>IF(J21="","",IF(O21&gt;=J21,"HOÀN THÀNH",IF(R21&gt;=S21,"ĐÚNG KẾ HOẠCH",IF(R21&gt;=S21*0.8,"NGUY CƠ CHẬM","KHÔNG ĐỦ NGUỒN"))))</x:f>
      </x:c>
      <x:c r="W21" s="22"/>
    </x:row>
    <x:row r="22">
      <x:c r="A22" s="22"/>
      <x:c r="B22" s="22"/>
      <x:c r="C22" s="22"/>
      <x:c r="D22" s="22"/>
      <x:c r="E22" s="22"/>
      <x:c r="F22" s="28"/>
      <x:c r="G22" s="28"/>
      <x:c r="H22" s="24"/>
      <x:c r="I22" s="24"/>
      <x:c r="J22" s="34" t="str">
        <x:f>IF(H22="","",H22*(1+I22)^MAX(0,YEARFRAC(F22,G22)))</x:f>
      </x:c>
      <x:c r="K22" s="34" t="n">
        <x:f>SUMIFS(Goal_Allocations!$F:$F,Goal_Allocations!$C:$C,A22,Goal_Allocations!$G:$G,"POSTED")</x:f>
        <x:v>0</x:v>
      </x:c>
      <x:c r="L22" s="24"/>
      <x:c r="M22" s="24"/>
      <x:c r="N22" s="24"/>
      <x:c r="O22" s="36" t="n">
        <x:f>K22+L22+M22+N22</x:f>
        <x:v>0</x:v>
      </x:c>
      <x:c r="P22" s="36" t="n">
        <x:f>MAX(0,J22-O22)</x:f>
        <x:v>0</x:v>
      </x:c>
      <x:c r="Q22" s="26"/>
      <x:c r="R22" s="24"/>
      <x:c r="S22" s="36" t="n">
        <x:f>IF(OR(G22="",P22&lt;=0),0,IF(Q22=0,P22/MAX(1,DATEDIF(TODAY(),G22,"m")),PMT(Q22/12,MAX(1,DATEDIF(TODAY(),G22,"m")),0,-P22)))</x:f>
        <x:v>0</x:v>
      </x:c>
      <x:c r="T22" s="30" t="str">
        <x:f>IF(R22&lt;=0,"",EDATE(TODAY(),ROUNDUP(P22/R22,0)))</x:f>
      </x:c>
      <x:c r="U22" s="42" t="n">
        <x:f>IFERROR(O22/J22,0)</x:f>
        <x:v>0</x:v>
      </x:c>
      <x:c r="V22" t="str">
        <x:f>IF(J22="","",IF(O22&gt;=J22,"HOÀN THÀNH",IF(R22&gt;=S22,"ĐÚNG KẾ HOẠCH",IF(R22&gt;=S22*0.8,"NGUY CƠ CHẬM","KHÔNG ĐỦ NGUỒN"))))</x:f>
      </x:c>
      <x:c r="W22" s="22"/>
    </x:row>
    <x:row r="23">
      <x:c r="A23" s="22"/>
      <x:c r="B23" s="22"/>
      <x:c r="C23" s="22"/>
      <x:c r="D23" s="22"/>
      <x:c r="E23" s="22"/>
      <x:c r="F23" s="28"/>
      <x:c r="G23" s="28"/>
      <x:c r="H23" s="24"/>
      <x:c r="I23" s="24"/>
      <x:c r="J23" s="34" t="str">
        <x:f>IF(H23="","",H23*(1+I23)^MAX(0,YEARFRAC(F23,G23)))</x:f>
      </x:c>
      <x:c r="K23" s="34" t="n">
        <x:f>SUMIFS(Goal_Allocations!$F:$F,Goal_Allocations!$C:$C,A23,Goal_Allocations!$G:$G,"POSTED")</x:f>
        <x:v>0</x:v>
      </x:c>
      <x:c r="L23" s="24"/>
      <x:c r="M23" s="24"/>
      <x:c r="N23" s="24"/>
      <x:c r="O23" s="36" t="n">
        <x:f>K23+L23+M23+N23</x:f>
        <x:v>0</x:v>
      </x:c>
      <x:c r="P23" s="36" t="n">
        <x:f>MAX(0,J23-O23)</x:f>
        <x:v>0</x:v>
      </x:c>
      <x:c r="Q23" s="26"/>
      <x:c r="R23" s="24"/>
      <x:c r="S23" s="36" t="n">
        <x:f>IF(OR(G23="",P23&lt;=0),0,IF(Q23=0,P23/MAX(1,DATEDIF(TODAY(),G23,"m")),PMT(Q23/12,MAX(1,DATEDIF(TODAY(),G23,"m")),0,-P23)))</x:f>
        <x:v>0</x:v>
      </x:c>
      <x:c r="T23" s="30" t="str">
        <x:f>IF(R23&lt;=0,"",EDATE(TODAY(),ROUNDUP(P23/R23,0)))</x:f>
      </x:c>
      <x:c r="U23" s="42" t="n">
        <x:f>IFERROR(O23/J23,0)</x:f>
        <x:v>0</x:v>
      </x:c>
      <x:c r="V23" t="str">
        <x:f>IF(J23="","",IF(O23&gt;=J23,"HOÀN THÀNH",IF(R23&gt;=S23,"ĐÚNG KẾ HOẠCH",IF(R23&gt;=S23*0.8,"NGUY CƠ CHẬM","KHÔNG ĐỦ NGUỒN"))))</x:f>
      </x:c>
      <x:c r="W23" s="22"/>
    </x:row>
    <x:row r="24">
      <x:c r="A24" s="22"/>
      <x:c r="B24" s="22"/>
      <x:c r="C24" s="22"/>
      <x:c r="D24" s="22"/>
      <x:c r="E24" s="22"/>
      <x:c r="F24" s="28"/>
      <x:c r="G24" s="28"/>
      <x:c r="H24" s="24"/>
      <x:c r="I24" s="24"/>
      <x:c r="J24" s="34" t="str">
        <x:f>IF(H24="","",H24*(1+I24)^MAX(0,YEARFRAC(F24,G24)))</x:f>
      </x:c>
      <x:c r="K24" s="34" t="n">
        <x:f>SUMIFS(Goal_Allocations!$F:$F,Goal_Allocations!$C:$C,A24,Goal_Allocations!$G:$G,"POSTED")</x:f>
        <x:v>0</x:v>
      </x:c>
      <x:c r="L24" s="24"/>
      <x:c r="M24" s="24"/>
      <x:c r="N24" s="24"/>
      <x:c r="O24" s="36" t="n">
        <x:f>K24+L24+M24+N24</x:f>
        <x:v>0</x:v>
      </x:c>
      <x:c r="P24" s="36" t="n">
        <x:f>MAX(0,J24-O24)</x:f>
        <x:v>0</x:v>
      </x:c>
      <x:c r="Q24" s="26"/>
      <x:c r="R24" s="24"/>
      <x:c r="S24" s="36" t="n">
        <x:f>IF(OR(G24="",P24&lt;=0),0,IF(Q24=0,P24/MAX(1,DATEDIF(TODAY(),G24,"m")),PMT(Q24/12,MAX(1,DATEDIF(TODAY(),G24,"m")),0,-P24)))</x:f>
        <x:v>0</x:v>
      </x:c>
      <x:c r="T24" s="30" t="str">
        <x:f>IF(R24&lt;=0,"",EDATE(TODAY(),ROUNDUP(P24/R24,0)))</x:f>
      </x:c>
      <x:c r="U24" s="42" t="n">
        <x:f>IFERROR(O24/J24,0)</x:f>
        <x:v>0</x:v>
      </x:c>
      <x:c r="V24" t="str">
        <x:f>IF(J24="","",IF(O24&gt;=J24,"HOÀN THÀNH",IF(R24&gt;=S24,"ĐÚNG KẾ HOẠCH",IF(R24&gt;=S24*0.8,"NGUY CƠ CHẬM","KHÔNG ĐỦ NGUỒN"))))</x:f>
      </x:c>
      <x:c r="W24" s="22"/>
    </x:row>
    <x:row r="25">
      <x:c r="A25" s="22"/>
      <x:c r="B25" s="22"/>
      <x:c r="C25" s="22"/>
      <x:c r="D25" s="22"/>
      <x:c r="E25" s="22"/>
      <x:c r="F25" s="28"/>
      <x:c r="G25" s="28"/>
      <x:c r="H25" s="24"/>
      <x:c r="I25" s="24"/>
      <x:c r="J25" s="34" t="str">
        <x:f>IF(H25="","",H25*(1+I25)^MAX(0,YEARFRAC(F25,G25)))</x:f>
      </x:c>
      <x:c r="K25" s="34" t="n">
        <x:f>SUMIFS(Goal_Allocations!$F:$F,Goal_Allocations!$C:$C,A25,Goal_Allocations!$G:$G,"POSTED")</x:f>
        <x:v>0</x:v>
      </x:c>
      <x:c r="L25" s="24"/>
      <x:c r="M25" s="24"/>
      <x:c r="N25" s="24"/>
      <x:c r="O25" s="36" t="n">
        <x:f>K25+L25+M25+N25</x:f>
        <x:v>0</x:v>
      </x:c>
      <x:c r="P25" s="36" t="n">
        <x:f>MAX(0,J25-O25)</x:f>
        <x:v>0</x:v>
      </x:c>
      <x:c r="Q25" s="26"/>
      <x:c r="R25" s="24"/>
      <x:c r="S25" s="36" t="n">
        <x:f>IF(OR(G25="",P25&lt;=0),0,IF(Q25=0,P25/MAX(1,DATEDIF(TODAY(),G25,"m")),PMT(Q25/12,MAX(1,DATEDIF(TODAY(),G25,"m")),0,-P25)))</x:f>
        <x:v>0</x:v>
      </x:c>
      <x:c r="T25" s="30" t="str">
        <x:f>IF(R25&lt;=0,"",EDATE(TODAY(),ROUNDUP(P25/R25,0)))</x:f>
      </x:c>
      <x:c r="U25" s="42" t="n">
        <x:f>IFERROR(O25/J25,0)</x:f>
        <x:v>0</x:v>
      </x:c>
      <x:c r="V25" t="str">
        <x:f>IF(J25="","",IF(O25&gt;=J25,"HOÀN THÀNH",IF(R25&gt;=S25,"ĐÚNG KẾ HOẠCH",IF(R25&gt;=S25*0.8,"NGUY CƠ CHẬM","KHÔNG ĐỦ NGUỒN"))))</x:f>
      </x:c>
      <x:c r="W25" s="22"/>
    </x:row>
    <x:row r="26">
      <x:c r="A26" s="22"/>
      <x:c r="B26" s="22"/>
      <x:c r="C26" s="22"/>
      <x:c r="D26" s="22"/>
      <x:c r="E26" s="22"/>
      <x:c r="F26" s="28"/>
      <x:c r="G26" s="28"/>
      <x:c r="H26" s="24"/>
      <x:c r="I26" s="24"/>
      <x:c r="J26" s="34" t="str">
        <x:f>IF(H26="","",H26*(1+I26)^MAX(0,YEARFRAC(F26,G26)))</x:f>
      </x:c>
      <x:c r="K26" s="34" t="n">
        <x:f>SUMIFS(Goal_Allocations!$F:$F,Goal_Allocations!$C:$C,A26,Goal_Allocations!$G:$G,"POSTED")</x:f>
        <x:v>0</x:v>
      </x:c>
      <x:c r="L26" s="24"/>
      <x:c r="M26" s="24"/>
      <x:c r="N26" s="24"/>
      <x:c r="O26" s="36" t="n">
        <x:f>K26+L26+M26+N26</x:f>
        <x:v>0</x:v>
      </x:c>
      <x:c r="P26" s="36" t="n">
        <x:f>MAX(0,J26-O26)</x:f>
        <x:v>0</x:v>
      </x:c>
      <x:c r="Q26" s="26"/>
      <x:c r="R26" s="24"/>
      <x:c r="S26" s="36" t="n">
        <x:f>IF(OR(G26="",P26&lt;=0),0,IF(Q26=0,P26/MAX(1,DATEDIF(TODAY(),G26,"m")),PMT(Q26/12,MAX(1,DATEDIF(TODAY(),G26,"m")),0,-P26)))</x:f>
        <x:v>0</x:v>
      </x:c>
      <x:c r="T26" s="30" t="str">
        <x:f>IF(R26&lt;=0,"",EDATE(TODAY(),ROUNDUP(P26/R26,0)))</x:f>
      </x:c>
      <x:c r="U26" s="42" t="n">
        <x:f>IFERROR(O26/J26,0)</x:f>
        <x:v>0</x:v>
      </x:c>
      <x:c r="V26" t="str">
        <x:f>IF(J26="","",IF(O26&gt;=J26,"HOÀN THÀNH",IF(R26&gt;=S26,"ĐÚNG KẾ HOẠCH",IF(R26&gt;=S26*0.8,"NGUY CƠ CHẬM","KHÔNG ĐỦ NGUỒN"))))</x:f>
      </x:c>
      <x:c r="W26" s="22"/>
    </x:row>
    <x:row r="27">
      <x:c r="A27" s="22"/>
      <x:c r="B27" s="22"/>
      <x:c r="C27" s="22"/>
      <x:c r="D27" s="22"/>
      <x:c r="E27" s="22"/>
      <x:c r="F27" s="28"/>
      <x:c r="G27" s="28"/>
      <x:c r="H27" s="24"/>
      <x:c r="I27" s="24"/>
      <x:c r="J27" s="34" t="str">
        <x:f>IF(H27="","",H27*(1+I27)^MAX(0,YEARFRAC(F27,G27)))</x:f>
      </x:c>
      <x:c r="K27" s="34" t="n">
        <x:f>SUMIFS(Goal_Allocations!$F:$F,Goal_Allocations!$C:$C,A27,Goal_Allocations!$G:$G,"POSTED")</x:f>
        <x:v>0</x:v>
      </x:c>
      <x:c r="L27" s="24"/>
      <x:c r="M27" s="24"/>
      <x:c r="N27" s="24"/>
      <x:c r="O27" s="36" t="n">
        <x:f>K27+L27+M27+N27</x:f>
        <x:v>0</x:v>
      </x:c>
      <x:c r="P27" s="36" t="n">
        <x:f>MAX(0,J27-O27)</x:f>
        <x:v>0</x:v>
      </x:c>
      <x:c r="Q27" s="26"/>
      <x:c r="R27" s="24"/>
      <x:c r="S27" s="36" t="n">
        <x:f>IF(OR(G27="",P27&lt;=0),0,IF(Q27=0,P27/MAX(1,DATEDIF(TODAY(),G27,"m")),PMT(Q27/12,MAX(1,DATEDIF(TODAY(),G27,"m")),0,-P27)))</x:f>
        <x:v>0</x:v>
      </x:c>
      <x:c r="T27" s="30" t="str">
        <x:f>IF(R27&lt;=0,"",EDATE(TODAY(),ROUNDUP(P27/R27,0)))</x:f>
      </x:c>
      <x:c r="U27" s="42" t="n">
        <x:f>IFERROR(O27/J27,0)</x:f>
        <x:v>0</x:v>
      </x:c>
      <x:c r="V27" t="str">
        <x:f>IF(J27="","",IF(O27&gt;=J27,"HOÀN THÀNH",IF(R27&gt;=S27,"ĐÚNG KẾ HOẠCH",IF(R27&gt;=S27*0.8,"NGUY CƠ CHẬM","KHÔNG ĐỦ NGUỒN"))))</x:f>
      </x:c>
      <x:c r="W27" s="22"/>
    </x:row>
    <x:row r="28">
      <x:c r="A28" s="22"/>
      <x:c r="B28" s="22"/>
      <x:c r="C28" s="22"/>
      <x:c r="D28" s="22"/>
      <x:c r="E28" s="22"/>
      <x:c r="F28" s="28"/>
      <x:c r="G28" s="28"/>
      <x:c r="H28" s="24"/>
      <x:c r="I28" s="24"/>
      <x:c r="J28" s="34" t="str">
        <x:f>IF(H28="","",H28*(1+I28)^MAX(0,YEARFRAC(F28,G28)))</x:f>
      </x:c>
      <x:c r="K28" s="34" t="n">
        <x:f>SUMIFS(Goal_Allocations!$F:$F,Goal_Allocations!$C:$C,A28,Goal_Allocations!$G:$G,"POSTED")</x:f>
        <x:v>0</x:v>
      </x:c>
      <x:c r="L28" s="24"/>
      <x:c r="M28" s="24"/>
      <x:c r="N28" s="24"/>
      <x:c r="O28" s="36" t="n">
        <x:f>K28+L28+M28+N28</x:f>
        <x:v>0</x:v>
      </x:c>
      <x:c r="P28" s="36" t="n">
        <x:f>MAX(0,J28-O28)</x:f>
        <x:v>0</x:v>
      </x:c>
      <x:c r="Q28" s="26"/>
      <x:c r="R28" s="24"/>
      <x:c r="S28" s="36" t="n">
        <x:f>IF(OR(G28="",P28&lt;=0),0,IF(Q28=0,P28/MAX(1,DATEDIF(TODAY(),G28,"m")),PMT(Q28/12,MAX(1,DATEDIF(TODAY(),G28,"m")),0,-P28)))</x:f>
        <x:v>0</x:v>
      </x:c>
      <x:c r="T28" s="30" t="str">
        <x:f>IF(R28&lt;=0,"",EDATE(TODAY(),ROUNDUP(P28/R28,0)))</x:f>
      </x:c>
      <x:c r="U28" s="42" t="n">
        <x:f>IFERROR(O28/J28,0)</x:f>
        <x:v>0</x:v>
      </x:c>
      <x:c r="V28" t="str">
        <x:f>IF(J28="","",IF(O28&gt;=J28,"HOÀN THÀNH",IF(R28&gt;=S28,"ĐÚNG KẾ HOẠCH",IF(R28&gt;=S28*0.8,"NGUY CƠ CHẬM","KHÔNG ĐỦ NGUỒN"))))</x:f>
      </x:c>
      <x:c r="W28" s="22"/>
    </x:row>
    <x:row r="29">
      <x:c r="A29" s="22"/>
      <x:c r="B29" s="22"/>
      <x:c r="C29" s="22"/>
      <x:c r="D29" s="22"/>
      <x:c r="E29" s="22"/>
      <x:c r="F29" s="28"/>
      <x:c r="G29" s="28"/>
      <x:c r="H29" s="24"/>
      <x:c r="I29" s="24"/>
      <x:c r="J29" s="34" t="str">
        <x:f>IF(H29="","",H29*(1+I29)^MAX(0,YEARFRAC(F29,G29)))</x:f>
      </x:c>
      <x:c r="K29" s="34" t="n">
        <x:f>SUMIFS(Goal_Allocations!$F:$F,Goal_Allocations!$C:$C,A29,Goal_Allocations!$G:$G,"POSTED")</x:f>
        <x:v>0</x:v>
      </x:c>
      <x:c r="L29" s="24"/>
      <x:c r="M29" s="24"/>
      <x:c r="N29" s="24"/>
      <x:c r="O29" s="36" t="n">
        <x:f>K29+L29+M29+N29</x:f>
        <x:v>0</x:v>
      </x:c>
      <x:c r="P29" s="36" t="n">
        <x:f>MAX(0,J29-O29)</x:f>
        <x:v>0</x:v>
      </x:c>
      <x:c r="Q29" s="26"/>
      <x:c r="R29" s="24"/>
      <x:c r="S29" s="36" t="n">
        <x:f>IF(OR(G29="",P29&lt;=0),0,IF(Q29=0,P29/MAX(1,DATEDIF(TODAY(),G29,"m")),PMT(Q29/12,MAX(1,DATEDIF(TODAY(),G29,"m")),0,-P29)))</x:f>
        <x:v>0</x:v>
      </x:c>
      <x:c r="T29" s="30" t="str">
        <x:f>IF(R29&lt;=0,"",EDATE(TODAY(),ROUNDUP(P29/R29,0)))</x:f>
      </x:c>
      <x:c r="U29" s="42" t="n">
        <x:f>IFERROR(O29/J29,0)</x:f>
        <x:v>0</x:v>
      </x:c>
      <x:c r="V29" t="str">
        <x:f>IF(J29="","",IF(O29&gt;=J29,"HOÀN THÀNH",IF(R29&gt;=S29,"ĐÚNG KẾ HOẠCH",IF(R29&gt;=S29*0.8,"NGUY CƠ CHẬM","KHÔNG ĐỦ NGUỒN"))))</x:f>
      </x:c>
      <x:c r="W29" s="22"/>
    </x:row>
    <x:row r="30">
      <x:c r="A30" s="22"/>
      <x:c r="B30" s="22"/>
      <x:c r="C30" s="22"/>
      <x:c r="D30" s="22"/>
      <x:c r="E30" s="22"/>
      <x:c r="F30" s="28"/>
      <x:c r="G30" s="28"/>
      <x:c r="H30" s="24"/>
      <x:c r="I30" s="24"/>
      <x:c r="J30" s="34" t="str">
        <x:f>IF(H30="","",H30*(1+I30)^MAX(0,YEARFRAC(F30,G30)))</x:f>
      </x:c>
      <x:c r="K30" s="34" t="n">
        <x:f>SUMIFS(Goal_Allocations!$F:$F,Goal_Allocations!$C:$C,A30,Goal_Allocations!$G:$G,"POSTED")</x:f>
        <x:v>0</x:v>
      </x:c>
      <x:c r="L30" s="24"/>
      <x:c r="M30" s="24"/>
      <x:c r="N30" s="24"/>
      <x:c r="O30" s="36" t="n">
        <x:f>K30+L30+M30+N30</x:f>
        <x:v>0</x:v>
      </x:c>
      <x:c r="P30" s="36" t="n">
        <x:f>MAX(0,J30-O30)</x:f>
        <x:v>0</x:v>
      </x:c>
      <x:c r="Q30" s="26"/>
      <x:c r="R30" s="24"/>
      <x:c r="S30" s="36" t="n">
        <x:f>IF(OR(G30="",P30&lt;=0),0,IF(Q30=0,P30/MAX(1,DATEDIF(TODAY(),G30,"m")),PMT(Q30/12,MAX(1,DATEDIF(TODAY(),G30,"m")),0,-P30)))</x:f>
        <x:v>0</x:v>
      </x:c>
      <x:c r="T30" s="30" t="str">
        <x:f>IF(R30&lt;=0,"",EDATE(TODAY(),ROUNDUP(P30/R30,0)))</x:f>
      </x:c>
      <x:c r="U30" s="42" t="n">
        <x:f>IFERROR(O30/J30,0)</x:f>
        <x:v>0</x:v>
      </x:c>
      <x:c r="V30" t="str">
        <x:f>IF(J30="","",IF(O30&gt;=J30,"HOÀN THÀNH",IF(R30&gt;=S30,"ĐÚNG KẾ HOẠCH",IF(R30&gt;=S30*0.8,"NGUY CƠ CHẬM","KHÔNG ĐỦ NGUỒN"))))</x:f>
      </x:c>
      <x:c r="W30" s="22"/>
    </x:row>
    <x:row r="31">
      <x:c r="A31" s="22"/>
      <x:c r="B31" s="22"/>
      <x:c r="C31" s="22"/>
      <x:c r="D31" s="22"/>
      <x:c r="E31" s="22"/>
      <x:c r="F31" s="28"/>
      <x:c r="G31" s="28"/>
      <x:c r="H31" s="24"/>
      <x:c r="I31" s="24"/>
      <x:c r="J31" s="34" t="str">
        <x:f>IF(H31="","",H31*(1+I31)^MAX(0,YEARFRAC(F31,G31)))</x:f>
      </x:c>
      <x:c r="K31" s="34" t="n">
        <x:f>SUMIFS(Goal_Allocations!$F:$F,Goal_Allocations!$C:$C,A31,Goal_Allocations!$G:$G,"POSTED")</x:f>
        <x:v>0</x:v>
      </x:c>
      <x:c r="L31" s="24"/>
      <x:c r="M31" s="24"/>
      <x:c r="N31" s="24"/>
      <x:c r="O31" s="36" t="n">
        <x:f>K31+L31+M31+N31</x:f>
        <x:v>0</x:v>
      </x:c>
      <x:c r="P31" s="36" t="n">
        <x:f>MAX(0,J31-O31)</x:f>
        <x:v>0</x:v>
      </x:c>
      <x:c r="Q31" s="26"/>
      <x:c r="R31" s="24"/>
      <x:c r="S31" s="36" t="n">
        <x:f>IF(OR(G31="",P31&lt;=0),0,IF(Q31=0,P31/MAX(1,DATEDIF(TODAY(),G31,"m")),PMT(Q31/12,MAX(1,DATEDIF(TODAY(),G31,"m")),0,-P31)))</x:f>
        <x:v>0</x:v>
      </x:c>
      <x:c r="T31" s="30" t="str">
        <x:f>IF(R31&lt;=0,"",EDATE(TODAY(),ROUNDUP(P31/R31,0)))</x:f>
      </x:c>
      <x:c r="U31" s="42" t="n">
        <x:f>IFERROR(O31/J31,0)</x:f>
        <x:v>0</x:v>
      </x:c>
      <x:c r="V31" t="str">
        <x:f>IF(J31="","",IF(O31&gt;=J31,"HOÀN THÀNH",IF(R31&gt;=S31,"ĐÚNG KẾ HOẠCH",IF(R31&gt;=S31*0.8,"NGUY CƠ CHẬM","KHÔNG ĐỦ NGUỒN"))))</x:f>
      </x:c>
      <x:c r="W31" s="22"/>
    </x:row>
    <x:row r="32">
      <x:c r="A32" s="22"/>
      <x:c r="B32" s="22"/>
      <x:c r="C32" s="22"/>
      <x:c r="D32" s="22"/>
      <x:c r="E32" s="22"/>
      <x:c r="F32" s="28"/>
      <x:c r="G32" s="28"/>
      <x:c r="H32" s="24"/>
      <x:c r="I32" s="24"/>
      <x:c r="J32" s="34" t="str">
        <x:f>IF(H32="","",H32*(1+I32)^MAX(0,YEARFRAC(F32,G32)))</x:f>
      </x:c>
      <x:c r="K32" s="34" t="n">
        <x:f>SUMIFS(Goal_Allocations!$F:$F,Goal_Allocations!$C:$C,A32,Goal_Allocations!$G:$G,"POSTED")</x:f>
        <x:v>0</x:v>
      </x:c>
      <x:c r="L32" s="24"/>
      <x:c r="M32" s="24"/>
      <x:c r="N32" s="24"/>
      <x:c r="O32" s="36" t="n">
        <x:f>K32+L32+M32+N32</x:f>
        <x:v>0</x:v>
      </x:c>
      <x:c r="P32" s="36" t="n">
        <x:f>MAX(0,J32-O32)</x:f>
        <x:v>0</x:v>
      </x:c>
      <x:c r="Q32" s="26"/>
      <x:c r="R32" s="24"/>
      <x:c r="S32" s="36" t="n">
        <x:f>IF(OR(G32="",P32&lt;=0),0,IF(Q32=0,P32/MAX(1,DATEDIF(TODAY(),G32,"m")),PMT(Q32/12,MAX(1,DATEDIF(TODAY(),G32,"m")),0,-P32)))</x:f>
        <x:v>0</x:v>
      </x:c>
      <x:c r="T32" s="30" t="str">
        <x:f>IF(R32&lt;=0,"",EDATE(TODAY(),ROUNDUP(P32/R32,0)))</x:f>
      </x:c>
      <x:c r="U32" s="42" t="n">
        <x:f>IFERROR(O32/J32,0)</x:f>
        <x:v>0</x:v>
      </x:c>
      <x:c r="V32" t="str">
        <x:f>IF(J32="","",IF(O32&gt;=J32,"HOÀN THÀNH",IF(R32&gt;=S32,"ĐÚNG KẾ HOẠCH",IF(R32&gt;=S32*0.8,"NGUY CƠ CHẬM","KHÔNG ĐỦ NGUỒN"))))</x:f>
      </x:c>
      <x:c r="W32" s="22"/>
    </x:row>
    <x:row r="33">
      <x:c r="A33" s="22"/>
      <x:c r="B33" s="22"/>
      <x:c r="C33" s="22"/>
      <x:c r="D33" s="22"/>
      <x:c r="E33" s="22"/>
      <x:c r="F33" s="28"/>
      <x:c r="G33" s="28"/>
      <x:c r="H33" s="24"/>
      <x:c r="I33" s="24"/>
      <x:c r="J33" s="34" t="str">
        <x:f>IF(H33="","",H33*(1+I33)^MAX(0,YEARFRAC(F33,G33)))</x:f>
      </x:c>
      <x:c r="K33" s="34" t="n">
        <x:f>SUMIFS(Goal_Allocations!$F:$F,Goal_Allocations!$C:$C,A33,Goal_Allocations!$G:$G,"POSTED")</x:f>
        <x:v>0</x:v>
      </x:c>
      <x:c r="L33" s="24"/>
      <x:c r="M33" s="24"/>
      <x:c r="N33" s="24"/>
      <x:c r="O33" s="36" t="n">
        <x:f>K33+L33+M33+N33</x:f>
        <x:v>0</x:v>
      </x:c>
      <x:c r="P33" s="36" t="n">
        <x:f>MAX(0,J33-O33)</x:f>
        <x:v>0</x:v>
      </x:c>
      <x:c r="Q33" s="26"/>
      <x:c r="R33" s="24"/>
      <x:c r="S33" s="36" t="n">
        <x:f>IF(OR(G33="",P33&lt;=0),0,IF(Q33=0,P33/MAX(1,DATEDIF(TODAY(),G33,"m")),PMT(Q33/12,MAX(1,DATEDIF(TODAY(),G33,"m")),0,-P33)))</x:f>
        <x:v>0</x:v>
      </x:c>
      <x:c r="T33" s="30" t="str">
        <x:f>IF(R33&lt;=0,"",EDATE(TODAY(),ROUNDUP(P33/R33,0)))</x:f>
      </x:c>
      <x:c r="U33" s="42" t="n">
        <x:f>IFERROR(O33/J33,0)</x:f>
        <x:v>0</x:v>
      </x:c>
      <x:c r="V33" t="str">
        <x:f>IF(J33="","",IF(O33&gt;=J33,"HOÀN THÀNH",IF(R33&gt;=S33,"ĐÚNG KẾ HOẠCH",IF(R33&gt;=S33*0.8,"NGUY CƠ CHẬM","KHÔNG ĐỦ NGUỒN"))))</x:f>
      </x:c>
      <x:c r="W33" s="22"/>
    </x:row>
    <x:row r="34">
      <x:c r="A34" s="22"/>
      <x:c r="B34" s="22"/>
      <x:c r="C34" s="22"/>
      <x:c r="D34" s="22"/>
      <x:c r="E34" s="22"/>
      <x:c r="F34" s="28"/>
      <x:c r="G34" s="28"/>
      <x:c r="H34" s="24"/>
      <x:c r="I34" s="24"/>
      <x:c r="J34" s="34" t="str">
        <x:f>IF(H34="","",H34*(1+I34)^MAX(0,YEARFRAC(F34,G34)))</x:f>
      </x:c>
      <x:c r="K34" s="34" t="n">
        <x:f>SUMIFS(Goal_Allocations!$F:$F,Goal_Allocations!$C:$C,A34,Goal_Allocations!$G:$G,"POSTED")</x:f>
        <x:v>0</x:v>
      </x:c>
      <x:c r="L34" s="24"/>
      <x:c r="M34" s="24"/>
      <x:c r="N34" s="24"/>
      <x:c r="O34" s="36" t="n">
        <x:f>K34+L34+M34+N34</x:f>
        <x:v>0</x:v>
      </x:c>
      <x:c r="P34" s="36" t="n">
        <x:f>MAX(0,J34-O34)</x:f>
        <x:v>0</x:v>
      </x:c>
      <x:c r="Q34" s="26"/>
      <x:c r="R34" s="24"/>
      <x:c r="S34" s="36" t="n">
        <x:f>IF(OR(G34="",P34&lt;=0),0,IF(Q34=0,P34/MAX(1,DATEDIF(TODAY(),G34,"m")),PMT(Q34/12,MAX(1,DATEDIF(TODAY(),G34,"m")),0,-P34)))</x:f>
        <x:v>0</x:v>
      </x:c>
      <x:c r="T34" s="30" t="str">
        <x:f>IF(R34&lt;=0,"",EDATE(TODAY(),ROUNDUP(P34/R34,0)))</x:f>
      </x:c>
      <x:c r="U34" s="42" t="n">
        <x:f>IFERROR(O34/J34,0)</x:f>
        <x:v>0</x:v>
      </x:c>
      <x:c r="V34" t="str">
        <x:f>IF(J34="","",IF(O34&gt;=J34,"HOÀN THÀNH",IF(R34&gt;=S34,"ĐÚNG KẾ HOẠCH",IF(R34&gt;=S34*0.8,"NGUY CƠ CHẬM","KHÔNG ĐỦ NGUỒN"))))</x:f>
      </x:c>
      <x:c r="W34" s="22"/>
    </x:row>
    <x:row r="35">
      <x:c r="A35" s="22"/>
      <x:c r="B35" s="22"/>
      <x:c r="C35" s="22"/>
      <x:c r="D35" s="22"/>
      <x:c r="E35" s="22"/>
      <x:c r="F35" s="28"/>
      <x:c r="G35" s="28"/>
      <x:c r="H35" s="24"/>
      <x:c r="I35" s="24"/>
      <x:c r="J35" s="34" t="str">
        <x:f>IF(H35="","",H35*(1+I35)^MAX(0,YEARFRAC(F35,G35)))</x:f>
      </x:c>
      <x:c r="K35" s="34" t="n">
        <x:f>SUMIFS(Goal_Allocations!$F:$F,Goal_Allocations!$C:$C,A35,Goal_Allocations!$G:$G,"POSTED")</x:f>
        <x:v>0</x:v>
      </x:c>
      <x:c r="L35" s="24"/>
      <x:c r="M35" s="24"/>
      <x:c r="N35" s="24"/>
      <x:c r="O35" s="36" t="n">
        <x:f>K35+L35+M35+N35</x:f>
        <x:v>0</x:v>
      </x:c>
      <x:c r="P35" s="36" t="n">
        <x:f>MAX(0,J35-O35)</x:f>
        <x:v>0</x:v>
      </x:c>
      <x:c r="Q35" s="26"/>
      <x:c r="R35" s="24"/>
      <x:c r="S35" s="36" t="n">
        <x:f>IF(OR(G35="",P35&lt;=0),0,IF(Q35=0,P35/MAX(1,DATEDIF(TODAY(),G35,"m")),PMT(Q35/12,MAX(1,DATEDIF(TODAY(),G35,"m")),0,-P35)))</x:f>
        <x:v>0</x:v>
      </x:c>
      <x:c r="T35" s="30" t="str">
        <x:f>IF(R35&lt;=0,"",EDATE(TODAY(),ROUNDUP(P35/R35,0)))</x:f>
      </x:c>
      <x:c r="U35" s="42" t="n">
        <x:f>IFERROR(O35/J35,0)</x:f>
        <x:v>0</x:v>
      </x:c>
      <x:c r="V35" t="str">
        <x:f>IF(J35="","",IF(O35&gt;=J35,"HOÀN THÀNH",IF(R35&gt;=S35,"ĐÚNG KẾ HOẠCH",IF(R35&gt;=S35*0.8,"NGUY CƠ CHẬM","KHÔNG ĐỦ NGUỒN"))))</x:f>
      </x:c>
      <x:c r="W35" s="22"/>
    </x:row>
    <x:row r="36">
      <x:c r="A36" s="22"/>
      <x:c r="B36" s="22"/>
      <x:c r="C36" s="22"/>
      <x:c r="D36" s="22"/>
      <x:c r="E36" s="22"/>
      <x:c r="F36" s="28"/>
      <x:c r="G36" s="28"/>
      <x:c r="H36" s="24"/>
      <x:c r="I36" s="24"/>
      <x:c r="J36" s="34" t="str">
        <x:f>IF(H36="","",H36*(1+I36)^MAX(0,YEARFRAC(F36,G36)))</x:f>
      </x:c>
      <x:c r="K36" s="34" t="n">
        <x:f>SUMIFS(Goal_Allocations!$F:$F,Goal_Allocations!$C:$C,A36,Goal_Allocations!$G:$G,"POSTED")</x:f>
        <x:v>0</x:v>
      </x:c>
      <x:c r="L36" s="24"/>
      <x:c r="M36" s="24"/>
      <x:c r="N36" s="24"/>
      <x:c r="O36" s="36" t="n">
        <x:f>K36+L36+M36+N36</x:f>
        <x:v>0</x:v>
      </x:c>
      <x:c r="P36" s="36" t="n">
        <x:f>MAX(0,J36-O36)</x:f>
        <x:v>0</x:v>
      </x:c>
      <x:c r="Q36" s="26"/>
      <x:c r="R36" s="24"/>
      <x:c r="S36" s="36" t="n">
        <x:f>IF(OR(G36="",P36&lt;=0),0,IF(Q36=0,P36/MAX(1,DATEDIF(TODAY(),G36,"m")),PMT(Q36/12,MAX(1,DATEDIF(TODAY(),G36,"m")),0,-P36)))</x:f>
        <x:v>0</x:v>
      </x:c>
      <x:c r="T36" s="30" t="str">
        <x:f>IF(R36&lt;=0,"",EDATE(TODAY(),ROUNDUP(P36/R36,0)))</x:f>
      </x:c>
      <x:c r="U36" s="42" t="n">
        <x:f>IFERROR(O36/J36,0)</x:f>
        <x:v>0</x:v>
      </x:c>
      <x:c r="V36" t="str">
        <x:f>IF(J36="","",IF(O36&gt;=J36,"HOÀN THÀNH",IF(R36&gt;=S36,"ĐÚNG KẾ HOẠCH",IF(R36&gt;=S36*0.8,"NGUY CƠ CHẬM","KHÔNG ĐỦ NGUỒN"))))</x:f>
      </x:c>
      <x:c r="W36" s="22"/>
    </x:row>
    <x:row r="37">
      <x:c r="A37" s="22"/>
      <x:c r="B37" s="22"/>
      <x:c r="C37" s="22"/>
      <x:c r="D37" s="22"/>
      <x:c r="E37" s="22"/>
      <x:c r="F37" s="28"/>
      <x:c r="G37" s="28"/>
      <x:c r="H37" s="24"/>
      <x:c r="I37" s="24"/>
      <x:c r="J37" s="34" t="str">
        <x:f>IF(H37="","",H37*(1+I37)^MAX(0,YEARFRAC(F37,G37)))</x:f>
      </x:c>
      <x:c r="K37" s="34" t="n">
        <x:f>SUMIFS(Goal_Allocations!$F:$F,Goal_Allocations!$C:$C,A37,Goal_Allocations!$G:$G,"POSTED")</x:f>
        <x:v>0</x:v>
      </x:c>
      <x:c r="L37" s="24"/>
      <x:c r="M37" s="24"/>
      <x:c r="N37" s="24"/>
      <x:c r="O37" s="36" t="n">
        <x:f>K37+L37+M37+N37</x:f>
        <x:v>0</x:v>
      </x:c>
      <x:c r="P37" s="36" t="n">
        <x:f>MAX(0,J37-O37)</x:f>
        <x:v>0</x:v>
      </x:c>
      <x:c r="Q37" s="26"/>
      <x:c r="R37" s="24"/>
      <x:c r="S37" s="36" t="n">
        <x:f>IF(OR(G37="",P37&lt;=0),0,IF(Q37=0,P37/MAX(1,DATEDIF(TODAY(),G37,"m")),PMT(Q37/12,MAX(1,DATEDIF(TODAY(),G37,"m")),0,-P37)))</x:f>
        <x:v>0</x:v>
      </x:c>
      <x:c r="T37" s="30" t="str">
        <x:f>IF(R37&lt;=0,"",EDATE(TODAY(),ROUNDUP(P37/R37,0)))</x:f>
      </x:c>
      <x:c r="U37" s="42" t="n">
        <x:f>IFERROR(O37/J37,0)</x:f>
        <x:v>0</x:v>
      </x:c>
      <x:c r="V37" t="str">
        <x:f>IF(J37="","",IF(O37&gt;=J37,"HOÀN THÀNH",IF(R37&gt;=S37,"ĐÚNG KẾ HOẠCH",IF(R37&gt;=S37*0.8,"NGUY CƠ CHẬM","KHÔNG ĐỦ NGUỒN"))))</x:f>
      </x:c>
      <x:c r="W37" s="22"/>
    </x:row>
    <x:row r="38">
      <x:c r="A38" s="22"/>
      <x:c r="B38" s="22"/>
      <x:c r="C38" s="22"/>
      <x:c r="D38" s="22"/>
      <x:c r="E38" s="22"/>
      <x:c r="F38" s="28"/>
      <x:c r="G38" s="28"/>
      <x:c r="H38" s="24"/>
      <x:c r="I38" s="24"/>
      <x:c r="J38" s="34" t="str">
        <x:f>IF(H38="","",H38*(1+I38)^MAX(0,YEARFRAC(F38,G38)))</x:f>
      </x:c>
      <x:c r="K38" s="34" t="n">
        <x:f>SUMIFS(Goal_Allocations!$F:$F,Goal_Allocations!$C:$C,A38,Goal_Allocations!$G:$G,"POSTED")</x:f>
        <x:v>0</x:v>
      </x:c>
      <x:c r="L38" s="24"/>
      <x:c r="M38" s="24"/>
      <x:c r="N38" s="24"/>
      <x:c r="O38" s="36" t="n">
        <x:f>K38+L38+M38+N38</x:f>
        <x:v>0</x:v>
      </x:c>
      <x:c r="P38" s="36" t="n">
        <x:f>MAX(0,J38-O38)</x:f>
        <x:v>0</x:v>
      </x:c>
      <x:c r="Q38" s="26"/>
      <x:c r="R38" s="24"/>
      <x:c r="S38" s="36" t="n">
        <x:f>IF(OR(G38="",P38&lt;=0),0,IF(Q38=0,P38/MAX(1,DATEDIF(TODAY(),G38,"m")),PMT(Q38/12,MAX(1,DATEDIF(TODAY(),G38,"m")),0,-P38)))</x:f>
        <x:v>0</x:v>
      </x:c>
      <x:c r="T38" s="30" t="str">
        <x:f>IF(R38&lt;=0,"",EDATE(TODAY(),ROUNDUP(P38/R38,0)))</x:f>
      </x:c>
      <x:c r="U38" s="42" t="n">
        <x:f>IFERROR(O38/J38,0)</x:f>
        <x:v>0</x:v>
      </x:c>
      <x:c r="V38" t="str">
        <x:f>IF(J38="","",IF(O38&gt;=J38,"HOÀN THÀNH",IF(R38&gt;=S38,"ĐÚNG KẾ HOẠCH",IF(R38&gt;=S38*0.8,"NGUY CƠ CHẬM","KHÔNG ĐỦ NGUỒN"))))</x:f>
      </x:c>
      <x:c r="W38" s="22"/>
    </x:row>
    <x:row r="39">
      <x:c r="A39" s="22"/>
      <x:c r="B39" s="22"/>
      <x:c r="C39" s="22"/>
      <x:c r="D39" s="22"/>
      <x:c r="E39" s="22"/>
      <x:c r="F39" s="28"/>
      <x:c r="G39" s="28"/>
      <x:c r="H39" s="24"/>
      <x:c r="I39" s="24"/>
      <x:c r="J39" s="34" t="str">
        <x:f>IF(H39="","",H39*(1+I39)^MAX(0,YEARFRAC(F39,G39)))</x:f>
      </x:c>
      <x:c r="K39" s="34" t="n">
        <x:f>SUMIFS(Goal_Allocations!$F:$F,Goal_Allocations!$C:$C,A39,Goal_Allocations!$G:$G,"POSTED")</x:f>
        <x:v>0</x:v>
      </x:c>
      <x:c r="L39" s="24"/>
      <x:c r="M39" s="24"/>
      <x:c r="N39" s="24"/>
      <x:c r="O39" s="36" t="n">
        <x:f>K39+L39+M39+N39</x:f>
        <x:v>0</x:v>
      </x:c>
      <x:c r="P39" s="36" t="n">
        <x:f>MAX(0,J39-O39)</x:f>
        <x:v>0</x:v>
      </x:c>
      <x:c r="Q39" s="26"/>
      <x:c r="R39" s="24"/>
      <x:c r="S39" s="36" t="n">
        <x:f>IF(OR(G39="",P39&lt;=0),0,IF(Q39=0,P39/MAX(1,DATEDIF(TODAY(),G39,"m")),PMT(Q39/12,MAX(1,DATEDIF(TODAY(),G39,"m")),0,-P39)))</x:f>
        <x:v>0</x:v>
      </x:c>
      <x:c r="T39" s="30" t="str">
        <x:f>IF(R39&lt;=0,"",EDATE(TODAY(),ROUNDUP(P39/R39,0)))</x:f>
      </x:c>
      <x:c r="U39" s="42" t="n">
        <x:f>IFERROR(O39/J39,0)</x:f>
        <x:v>0</x:v>
      </x:c>
      <x:c r="V39" t="str">
        <x:f>IF(J39="","",IF(O39&gt;=J39,"HOÀN THÀNH",IF(R39&gt;=S39,"ĐÚNG KẾ HOẠCH",IF(R39&gt;=S39*0.8,"NGUY CƠ CHẬM","KHÔNG ĐỦ NGUỒN"))))</x:f>
      </x:c>
      <x:c r="W39" s="22"/>
    </x:row>
    <x:row r="40">
      <x:c r="A40" s="22"/>
      <x:c r="B40" s="22"/>
      <x:c r="C40" s="22"/>
      <x:c r="D40" s="22"/>
      <x:c r="E40" s="22"/>
      <x:c r="F40" s="28"/>
      <x:c r="G40" s="28"/>
      <x:c r="H40" s="24"/>
      <x:c r="I40" s="24"/>
      <x:c r="J40" s="34" t="str">
        <x:f>IF(H40="","",H40*(1+I40)^MAX(0,YEARFRAC(F40,G40)))</x:f>
      </x:c>
      <x:c r="K40" s="34" t="n">
        <x:f>SUMIFS(Goal_Allocations!$F:$F,Goal_Allocations!$C:$C,A40,Goal_Allocations!$G:$G,"POSTED")</x:f>
        <x:v>0</x:v>
      </x:c>
      <x:c r="L40" s="24"/>
      <x:c r="M40" s="24"/>
      <x:c r="N40" s="24"/>
      <x:c r="O40" s="36" t="n">
        <x:f>K40+L40+M40+N40</x:f>
        <x:v>0</x:v>
      </x:c>
      <x:c r="P40" s="36" t="n">
        <x:f>MAX(0,J40-O40)</x:f>
        <x:v>0</x:v>
      </x:c>
      <x:c r="Q40" s="26"/>
      <x:c r="R40" s="24"/>
      <x:c r="S40" s="36" t="n">
        <x:f>IF(OR(G40="",P40&lt;=0),0,IF(Q40=0,P40/MAX(1,DATEDIF(TODAY(),G40,"m")),PMT(Q40/12,MAX(1,DATEDIF(TODAY(),G40,"m")),0,-P40)))</x:f>
        <x:v>0</x:v>
      </x:c>
      <x:c r="T40" s="30" t="str">
        <x:f>IF(R40&lt;=0,"",EDATE(TODAY(),ROUNDUP(P40/R40,0)))</x:f>
      </x:c>
      <x:c r="U40" s="42" t="n">
        <x:f>IFERROR(O40/J40,0)</x:f>
        <x:v>0</x:v>
      </x:c>
      <x:c r="V40" t="str">
        <x:f>IF(J40="","",IF(O40&gt;=J40,"HOÀN THÀNH",IF(R40&gt;=S40,"ĐÚNG KẾ HOẠCH",IF(R40&gt;=S40*0.8,"NGUY CƠ CHẬM","KHÔNG ĐỦ NGUỒN"))))</x:f>
      </x:c>
      <x:c r="W40" s="22"/>
    </x:row>
    <x:row r="41">
      <x:c r="A41" s="22"/>
      <x:c r="B41" s="22"/>
      <x:c r="C41" s="22"/>
      <x:c r="D41" s="22"/>
      <x:c r="E41" s="22"/>
      <x:c r="F41" s="28"/>
      <x:c r="G41" s="28"/>
      <x:c r="H41" s="24"/>
      <x:c r="I41" s="24"/>
      <x:c r="J41" s="34" t="str">
        <x:f>IF(H41="","",H41*(1+I41)^MAX(0,YEARFRAC(F41,G41)))</x:f>
      </x:c>
      <x:c r="K41" s="34" t="n">
        <x:f>SUMIFS(Goal_Allocations!$F:$F,Goal_Allocations!$C:$C,A41,Goal_Allocations!$G:$G,"POSTED")</x:f>
        <x:v>0</x:v>
      </x:c>
      <x:c r="L41" s="24"/>
      <x:c r="M41" s="24"/>
      <x:c r="N41" s="24"/>
      <x:c r="O41" s="36" t="n">
        <x:f>K41+L41+M41+N41</x:f>
        <x:v>0</x:v>
      </x:c>
      <x:c r="P41" s="36" t="n">
        <x:f>MAX(0,J41-O41)</x:f>
        <x:v>0</x:v>
      </x:c>
      <x:c r="Q41" s="26"/>
      <x:c r="R41" s="24"/>
      <x:c r="S41" s="36" t="n">
        <x:f>IF(OR(G41="",P41&lt;=0),0,IF(Q41=0,P41/MAX(1,DATEDIF(TODAY(),G41,"m")),PMT(Q41/12,MAX(1,DATEDIF(TODAY(),G41,"m")),0,-P41)))</x:f>
        <x:v>0</x:v>
      </x:c>
      <x:c r="T41" s="30" t="str">
        <x:f>IF(R41&lt;=0,"",EDATE(TODAY(),ROUNDUP(P41/R41,0)))</x:f>
      </x:c>
      <x:c r="U41" s="42" t="n">
        <x:f>IFERROR(O41/J41,0)</x:f>
        <x:v>0</x:v>
      </x:c>
      <x:c r="V41" t="str">
        <x:f>IF(J41="","",IF(O41&gt;=J41,"HOÀN THÀNH",IF(R41&gt;=S41,"ĐÚNG KẾ HOẠCH",IF(R41&gt;=S41*0.8,"NGUY CƠ CHẬM","KHÔNG ĐỦ NGUỒN"))))</x:f>
      </x:c>
      <x:c r="W41" s="22"/>
    </x:row>
    <x:row r="42">
      <x:c r="A42" s="22"/>
      <x:c r="B42" s="22"/>
      <x:c r="C42" s="22"/>
      <x:c r="D42" s="22"/>
      <x:c r="E42" s="22"/>
      <x:c r="F42" s="28"/>
      <x:c r="G42" s="28"/>
      <x:c r="H42" s="24"/>
      <x:c r="I42" s="24"/>
      <x:c r="J42" s="34" t="str">
        <x:f>IF(H42="","",H42*(1+I42)^MAX(0,YEARFRAC(F42,G42)))</x:f>
      </x:c>
      <x:c r="K42" s="34" t="n">
        <x:f>SUMIFS(Goal_Allocations!$F:$F,Goal_Allocations!$C:$C,A42,Goal_Allocations!$G:$G,"POSTED")</x:f>
        <x:v>0</x:v>
      </x:c>
      <x:c r="L42" s="24"/>
      <x:c r="M42" s="24"/>
      <x:c r="N42" s="24"/>
      <x:c r="O42" s="36" t="n">
        <x:f>K42+L42+M42+N42</x:f>
        <x:v>0</x:v>
      </x:c>
      <x:c r="P42" s="36" t="n">
        <x:f>MAX(0,J42-O42)</x:f>
        <x:v>0</x:v>
      </x:c>
      <x:c r="Q42" s="26"/>
      <x:c r="R42" s="24"/>
      <x:c r="S42" s="36" t="n">
        <x:f>IF(OR(G42="",P42&lt;=0),0,IF(Q42=0,P42/MAX(1,DATEDIF(TODAY(),G42,"m")),PMT(Q42/12,MAX(1,DATEDIF(TODAY(),G42,"m")),0,-P42)))</x:f>
        <x:v>0</x:v>
      </x:c>
      <x:c r="T42" s="30" t="str">
        <x:f>IF(R42&lt;=0,"",EDATE(TODAY(),ROUNDUP(P42/R42,0)))</x:f>
      </x:c>
      <x:c r="U42" s="42" t="n">
        <x:f>IFERROR(O42/J42,0)</x:f>
        <x:v>0</x:v>
      </x:c>
      <x:c r="V42" t="str">
        <x:f>IF(J42="","",IF(O42&gt;=J42,"HOÀN THÀNH",IF(R42&gt;=S42,"ĐÚNG KẾ HOẠCH",IF(R42&gt;=S42*0.8,"NGUY CƠ CHẬM","KHÔNG ĐỦ NGUỒN"))))</x:f>
      </x:c>
      <x:c r="W42" s="22"/>
    </x:row>
    <x:row r="43">
      <x:c r="A43" s="22"/>
      <x:c r="B43" s="22"/>
      <x:c r="C43" s="22"/>
      <x:c r="D43" s="22"/>
      <x:c r="E43" s="22"/>
      <x:c r="F43" s="28"/>
      <x:c r="G43" s="28"/>
      <x:c r="H43" s="24"/>
      <x:c r="I43" s="24"/>
      <x:c r="J43" s="34" t="str">
        <x:f>IF(H43="","",H43*(1+I43)^MAX(0,YEARFRAC(F43,G43)))</x:f>
      </x:c>
      <x:c r="K43" s="34" t="n">
        <x:f>SUMIFS(Goal_Allocations!$F:$F,Goal_Allocations!$C:$C,A43,Goal_Allocations!$G:$G,"POSTED")</x:f>
        <x:v>0</x:v>
      </x:c>
      <x:c r="L43" s="24"/>
      <x:c r="M43" s="24"/>
      <x:c r="N43" s="24"/>
      <x:c r="O43" s="36" t="n">
        <x:f>K43+L43+M43+N43</x:f>
        <x:v>0</x:v>
      </x:c>
      <x:c r="P43" s="36" t="n">
        <x:f>MAX(0,J43-O43)</x:f>
        <x:v>0</x:v>
      </x:c>
      <x:c r="Q43" s="26"/>
      <x:c r="R43" s="24"/>
      <x:c r="S43" s="36" t="n">
        <x:f>IF(OR(G43="",P43&lt;=0),0,IF(Q43=0,P43/MAX(1,DATEDIF(TODAY(),G43,"m")),PMT(Q43/12,MAX(1,DATEDIF(TODAY(),G43,"m")),0,-P43)))</x:f>
        <x:v>0</x:v>
      </x:c>
      <x:c r="T43" s="30" t="str">
        <x:f>IF(R43&lt;=0,"",EDATE(TODAY(),ROUNDUP(P43/R43,0)))</x:f>
      </x:c>
      <x:c r="U43" s="42" t="n">
        <x:f>IFERROR(O43/J43,0)</x:f>
        <x:v>0</x:v>
      </x:c>
      <x:c r="V43" t="str">
        <x:f>IF(J43="","",IF(O43&gt;=J43,"HOÀN THÀNH",IF(R43&gt;=S43,"ĐÚNG KẾ HOẠCH",IF(R43&gt;=S43*0.8,"NGUY CƠ CHẬM","KHÔNG ĐỦ NGUỒN"))))</x:f>
      </x:c>
      <x:c r="W43" s="22"/>
    </x:row>
    <x:row r="44">
      <x:c r="A44" s="22"/>
      <x:c r="B44" s="22"/>
      <x:c r="C44" s="22"/>
      <x:c r="D44" s="22"/>
      <x:c r="E44" s="22"/>
      <x:c r="F44" s="28"/>
      <x:c r="G44" s="28"/>
      <x:c r="H44" s="24"/>
      <x:c r="I44" s="24"/>
      <x:c r="J44" s="34" t="str">
        <x:f>IF(H44="","",H44*(1+I44)^MAX(0,YEARFRAC(F44,G44)))</x:f>
      </x:c>
      <x:c r="K44" s="34" t="n">
        <x:f>SUMIFS(Goal_Allocations!$F:$F,Goal_Allocations!$C:$C,A44,Goal_Allocations!$G:$G,"POSTED")</x:f>
        <x:v>0</x:v>
      </x:c>
      <x:c r="L44" s="24"/>
      <x:c r="M44" s="24"/>
      <x:c r="N44" s="24"/>
      <x:c r="O44" s="36" t="n">
        <x:f>K44+L44+M44+N44</x:f>
        <x:v>0</x:v>
      </x:c>
      <x:c r="P44" s="36" t="n">
        <x:f>MAX(0,J44-O44)</x:f>
        <x:v>0</x:v>
      </x:c>
      <x:c r="Q44" s="26"/>
      <x:c r="R44" s="24"/>
      <x:c r="S44" s="36" t="n">
        <x:f>IF(OR(G44="",P44&lt;=0),0,IF(Q44=0,P44/MAX(1,DATEDIF(TODAY(),G44,"m")),PMT(Q44/12,MAX(1,DATEDIF(TODAY(),G44,"m")),0,-P44)))</x:f>
        <x:v>0</x:v>
      </x:c>
      <x:c r="T44" s="30" t="str">
        <x:f>IF(R44&lt;=0,"",EDATE(TODAY(),ROUNDUP(P44/R44,0)))</x:f>
      </x:c>
      <x:c r="U44" s="42" t="n">
        <x:f>IFERROR(O44/J44,0)</x:f>
        <x:v>0</x:v>
      </x:c>
      <x:c r="V44" t="str">
        <x:f>IF(J44="","",IF(O44&gt;=J44,"HOÀN THÀNH",IF(R44&gt;=S44,"ĐÚNG KẾ HOẠCH",IF(R44&gt;=S44*0.8,"NGUY CƠ CHẬM","KHÔNG ĐỦ NGUỒN"))))</x:f>
      </x:c>
      <x:c r="W44" s="22"/>
    </x:row>
    <x:row r="45">
      <x:c r="A45" s="22"/>
      <x:c r="B45" s="22"/>
      <x:c r="C45" s="22"/>
      <x:c r="D45" s="22"/>
      <x:c r="E45" s="22"/>
      <x:c r="F45" s="28"/>
      <x:c r="G45" s="28"/>
      <x:c r="H45" s="24"/>
      <x:c r="I45" s="24"/>
      <x:c r="J45" s="34" t="str">
        <x:f>IF(H45="","",H45*(1+I45)^MAX(0,YEARFRAC(F45,G45)))</x:f>
      </x:c>
      <x:c r="K45" s="34" t="n">
        <x:f>SUMIFS(Goal_Allocations!$F:$F,Goal_Allocations!$C:$C,A45,Goal_Allocations!$G:$G,"POSTED")</x:f>
        <x:v>0</x:v>
      </x:c>
      <x:c r="L45" s="24"/>
      <x:c r="M45" s="24"/>
      <x:c r="N45" s="24"/>
      <x:c r="O45" s="36" t="n">
        <x:f>K45+L45+M45+N45</x:f>
        <x:v>0</x:v>
      </x:c>
      <x:c r="P45" s="36" t="n">
        <x:f>MAX(0,J45-O45)</x:f>
        <x:v>0</x:v>
      </x:c>
      <x:c r="Q45" s="26"/>
      <x:c r="R45" s="24"/>
      <x:c r="S45" s="36" t="n">
        <x:f>IF(OR(G45="",P45&lt;=0),0,IF(Q45=0,P45/MAX(1,DATEDIF(TODAY(),G45,"m")),PMT(Q45/12,MAX(1,DATEDIF(TODAY(),G45,"m")),0,-P45)))</x:f>
        <x:v>0</x:v>
      </x:c>
      <x:c r="T45" s="30" t="str">
        <x:f>IF(R45&lt;=0,"",EDATE(TODAY(),ROUNDUP(P45/R45,0)))</x:f>
      </x:c>
      <x:c r="U45" s="42" t="n">
        <x:f>IFERROR(O45/J45,0)</x:f>
        <x:v>0</x:v>
      </x:c>
      <x:c r="V45" t="str">
        <x:f>IF(J45="","",IF(O45&gt;=J45,"HOÀN THÀNH",IF(R45&gt;=S45,"ĐÚNG KẾ HOẠCH",IF(R45&gt;=S45*0.8,"NGUY CƠ CHẬM","KHÔNG ĐỦ NGUỒN"))))</x:f>
      </x:c>
      <x:c r="W45" s="22"/>
    </x:row>
    <x:row r="46">
      <x:c r="A46" s="22"/>
      <x:c r="B46" s="22"/>
      <x:c r="C46" s="22"/>
      <x:c r="D46" s="22"/>
      <x:c r="E46" s="22"/>
      <x:c r="F46" s="28"/>
      <x:c r="G46" s="28"/>
      <x:c r="H46" s="24"/>
      <x:c r="I46" s="24"/>
      <x:c r="J46" s="34" t="str">
        <x:f>IF(H46="","",H46*(1+I46)^MAX(0,YEARFRAC(F46,G46)))</x:f>
      </x:c>
      <x:c r="K46" s="34" t="n">
        <x:f>SUMIFS(Goal_Allocations!$F:$F,Goal_Allocations!$C:$C,A46,Goal_Allocations!$G:$G,"POSTED")</x:f>
        <x:v>0</x:v>
      </x:c>
      <x:c r="L46" s="24"/>
      <x:c r="M46" s="24"/>
      <x:c r="N46" s="24"/>
      <x:c r="O46" s="36" t="n">
        <x:f>K46+L46+M46+N46</x:f>
        <x:v>0</x:v>
      </x:c>
      <x:c r="P46" s="36" t="n">
        <x:f>MAX(0,J46-O46)</x:f>
        <x:v>0</x:v>
      </x:c>
      <x:c r="Q46" s="26"/>
      <x:c r="R46" s="24"/>
      <x:c r="S46" s="36" t="n">
        <x:f>IF(OR(G46="",P46&lt;=0),0,IF(Q46=0,P46/MAX(1,DATEDIF(TODAY(),G46,"m")),PMT(Q46/12,MAX(1,DATEDIF(TODAY(),G46,"m")),0,-P46)))</x:f>
        <x:v>0</x:v>
      </x:c>
      <x:c r="T46" s="30" t="str">
        <x:f>IF(R46&lt;=0,"",EDATE(TODAY(),ROUNDUP(P46/R46,0)))</x:f>
      </x:c>
      <x:c r="U46" s="42" t="n">
        <x:f>IFERROR(O46/J46,0)</x:f>
        <x:v>0</x:v>
      </x:c>
      <x:c r="V46" t="str">
        <x:f>IF(J46="","",IF(O46&gt;=J46,"HOÀN THÀNH",IF(R46&gt;=S46,"ĐÚNG KẾ HOẠCH",IF(R46&gt;=S46*0.8,"NGUY CƠ CHẬM","KHÔNG ĐỦ NGUỒN"))))</x:f>
      </x:c>
      <x:c r="W46" s="22"/>
    </x:row>
    <x:row r="47">
      <x:c r="A47" s="22"/>
      <x:c r="B47" s="22"/>
      <x:c r="C47" s="22"/>
      <x:c r="D47" s="22"/>
      <x:c r="E47" s="22"/>
      <x:c r="F47" s="28"/>
      <x:c r="G47" s="28"/>
      <x:c r="H47" s="24"/>
      <x:c r="I47" s="24"/>
      <x:c r="J47" s="34" t="str">
        <x:f>IF(H47="","",H47*(1+I47)^MAX(0,YEARFRAC(F47,G47)))</x:f>
      </x:c>
      <x:c r="K47" s="34" t="n">
        <x:f>SUMIFS(Goal_Allocations!$F:$F,Goal_Allocations!$C:$C,A47,Goal_Allocations!$G:$G,"POSTED")</x:f>
        <x:v>0</x:v>
      </x:c>
      <x:c r="L47" s="24"/>
      <x:c r="M47" s="24"/>
      <x:c r="N47" s="24"/>
      <x:c r="O47" s="36" t="n">
        <x:f>K47+L47+M47+N47</x:f>
        <x:v>0</x:v>
      </x:c>
      <x:c r="P47" s="36" t="n">
        <x:f>MAX(0,J47-O47)</x:f>
        <x:v>0</x:v>
      </x:c>
      <x:c r="Q47" s="26"/>
      <x:c r="R47" s="24"/>
      <x:c r="S47" s="36" t="n">
        <x:f>IF(OR(G47="",P47&lt;=0),0,IF(Q47=0,P47/MAX(1,DATEDIF(TODAY(),G47,"m")),PMT(Q47/12,MAX(1,DATEDIF(TODAY(),G47,"m")),0,-P47)))</x:f>
        <x:v>0</x:v>
      </x:c>
      <x:c r="T47" s="30" t="str">
        <x:f>IF(R47&lt;=0,"",EDATE(TODAY(),ROUNDUP(P47/R47,0)))</x:f>
      </x:c>
      <x:c r="U47" s="42" t="n">
        <x:f>IFERROR(O47/J47,0)</x:f>
        <x:v>0</x:v>
      </x:c>
      <x:c r="V47" t="str">
        <x:f>IF(J47="","",IF(O47&gt;=J47,"HOÀN THÀNH",IF(R47&gt;=S47,"ĐÚNG KẾ HOẠCH",IF(R47&gt;=S47*0.8,"NGUY CƠ CHẬM","KHÔNG ĐỦ NGUỒN"))))</x:f>
      </x:c>
      <x:c r="W47" s="22"/>
    </x:row>
    <x:row r="48">
      <x:c r="A48" s="22"/>
      <x:c r="B48" s="22"/>
      <x:c r="C48" s="22"/>
      <x:c r="D48" s="22"/>
      <x:c r="E48" s="22"/>
      <x:c r="F48" s="28"/>
      <x:c r="G48" s="28"/>
      <x:c r="H48" s="24"/>
      <x:c r="I48" s="24"/>
      <x:c r="J48" s="34" t="str">
        <x:f>IF(H48="","",H48*(1+I48)^MAX(0,YEARFRAC(F48,G48)))</x:f>
      </x:c>
      <x:c r="K48" s="34" t="n">
        <x:f>SUMIFS(Goal_Allocations!$F:$F,Goal_Allocations!$C:$C,A48,Goal_Allocations!$G:$G,"POSTED")</x:f>
        <x:v>0</x:v>
      </x:c>
      <x:c r="L48" s="24"/>
      <x:c r="M48" s="24"/>
      <x:c r="N48" s="24"/>
      <x:c r="O48" s="36" t="n">
        <x:f>K48+L48+M48+N48</x:f>
        <x:v>0</x:v>
      </x:c>
      <x:c r="P48" s="36" t="n">
        <x:f>MAX(0,J48-O48)</x:f>
        <x:v>0</x:v>
      </x:c>
      <x:c r="Q48" s="26"/>
      <x:c r="R48" s="24"/>
      <x:c r="S48" s="36" t="n">
        <x:f>IF(OR(G48="",P48&lt;=0),0,IF(Q48=0,P48/MAX(1,DATEDIF(TODAY(),G48,"m")),PMT(Q48/12,MAX(1,DATEDIF(TODAY(),G48,"m")),0,-P48)))</x:f>
        <x:v>0</x:v>
      </x:c>
      <x:c r="T48" s="30" t="str">
        <x:f>IF(R48&lt;=0,"",EDATE(TODAY(),ROUNDUP(P48/R48,0)))</x:f>
      </x:c>
      <x:c r="U48" s="42" t="n">
        <x:f>IFERROR(O48/J48,0)</x:f>
        <x:v>0</x:v>
      </x:c>
      <x:c r="V48" t="str">
        <x:f>IF(J48="","",IF(O48&gt;=J48,"HOÀN THÀNH",IF(R48&gt;=S48,"ĐÚNG KẾ HOẠCH",IF(R48&gt;=S48*0.8,"NGUY CƠ CHẬM","KHÔNG ĐỦ NGUỒN"))))</x:f>
      </x:c>
      <x:c r="W48" s="22"/>
    </x:row>
    <x:row r="49">
      <x:c r="A49" s="22"/>
      <x:c r="B49" s="22"/>
      <x:c r="C49" s="22"/>
      <x:c r="D49" s="22"/>
      <x:c r="E49" s="22"/>
      <x:c r="F49" s="28"/>
      <x:c r="G49" s="28"/>
      <x:c r="H49" s="24"/>
      <x:c r="I49" s="24"/>
      <x:c r="J49" s="34" t="str">
        <x:f>IF(H49="","",H49*(1+I49)^MAX(0,YEARFRAC(F49,G49)))</x:f>
      </x:c>
      <x:c r="K49" s="34" t="n">
        <x:f>SUMIFS(Goal_Allocations!$F:$F,Goal_Allocations!$C:$C,A49,Goal_Allocations!$G:$G,"POSTED")</x:f>
        <x:v>0</x:v>
      </x:c>
      <x:c r="L49" s="24"/>
      <x:c r="M49" s="24"/>
      <x:c r="N49" s="24"/>
      <x:c r="O49" s="36" t="n">
        <x:f>K49+L49+M49+N49</x:f>
        <x:v>0</x:v>
      </x:c>
      <x:c r="P49" s="36" t="n">
        <x:f>MAX(0,J49-O49)</x:f>
        <x:v>0</x:v>
      </x:c>
      <x:c r="Q49" s="26"/>
      <x:c r="R49" s="24"/>
      <x:c r="S49" s="36" t="n">
        <x:f>IF(OR(G49="",P49&lt;=0),0,IF(Q49=0,P49/MAX(1,DATEDIF(TODAY(),G49,"m")),PMT(Q49/12,MAX(1,DATEDIF(TODAY(),G49,"m")),0,-P49)))</x:f>
        <x:v>0</x:v>
      </x:c>
      <x:c r="T49" s="30" t="str">
        <x:f>IF(R49&lt;=0,"",EDATE(TODAY(),ROUNDUP(P49/R49,0)))</x:f>
      </x:c>
      <x:c r="U49" s="42" t="n">
        <x:f>IFERROR(O49/J49,0)</x:f>
        <x:v>0</x:v>
      </x:c>
      <x:c r="V49" t="str">
        <x:f>IF(J49="","",IF(O49&gt;=J49,"HOÀN THÀNH",IF(R49&gt;=S49,"ĐÚNG KẾ HOẠCH",IF(R49&gt;=S49*0.8,"NGUY CƠ CHẬM","KHÔNG ĐỦ NGUỒN"))))</x:f>
      </x:c>
      <x:c r="W49" s="22"/>
    </x:row>
    <x:row r="50">
      <x:c r="A50" s="22"/>
      <x:c r="B50" s="22"/>
      <x:c r="C50" s="22"/>
      <x:c r="D50" s="22"/>
      <x:c r="E50" s="22"/>
      <x:c r="F50" s="28"/>
      <x:c r="G50" s="28"/>
      <x:c r="H50" s="24"/>
      <x:c r="I50" s="24"/>
      <x:c r="J50" s="34" t="str">
        <x:f>IF(H50="","",H50*(1+I50)^MAX(0,YEARFRAC(F50,G50)))</x:f>
      </x:c>
      <x:c r="K50" s="34" t="n">
        <x:f>SUMIFS(Goal_Allocations!$F:$F,Goal_Allocations!$C:$C,A50,Goal_Allocations!$G:$G,"POSTED")</x:f>
        <x:v>0</x:v>
      </x:c>
      <x:c r="L50" s="24"/>
      <x:c r="M50" s="24"/>
      <x:c r="N50" s="24"/>
      <x:c r="O50" s="36" t="n">
        <x:f>K50+L50+M50+N50</x:f>
        <x:v>0</x:v>
      </x:c>
      <x:c r="P50" s="36" t="n">
        <x:f>MAX(0,J50-O50)</x:f>
        <x:v>0</x:v>
      </x:c>
      <x:c r="Q50" s="26"/>
      <x:c r="R50" s="24"/>
      <x:c r="S50" s="36" t="n">
        <x:f>IF(OR(G50="",P50&lt;=0),0,IF(Q50=0,P50/MAX(1,DATEDIF(TODAY(),G50,"m")),PMT(Q50/12,MAX(1,DATEDIF(TODAY(),G50,"m")),0,-P50)))</x:f>
        <x:v>0</x:v>
      </x:c>
      <x:c r="T50" s="30" t="str">
        <x:f>IF(R50&lt;=0,"",EDATE(TODAY(),ROUNDUP(P50/R50,0)))</x:f>
      </x:c>
      <x:c r="U50" s="42" t="n">
        <x:f>IFERROR(O50/J50,0)</x:f>
        <x:v>0</x:v>
      </x:c>
      <x:c r="V50" t="str">
        <x:f>IF(J50="","",IF(O50&gt;=J50,"HOÀN THÀNH",IF(R50&gt;=S50,"ĐÚNG KẾ HOẠCH",IF(R50&gt;=S50*0.8,"NGUY CƠ CHẬM","KHÔNG ĐỦ NGUỒN"))))</x:f>
      </x:c>
      <x:c r="W50" s="22"/>
    </x:row>
    <x:row r="51">
      <x:c r="A51" s="22"/>
      <x:c r="B51" s="22"/>
      <x:c r="C51" s="22"/>
      <x:c r="D51" s="22"/>
      <x:c r="E51" s="22"/>
      <x:c r="F51" s="28"/>
      <x:c r="G51" s="28"/>
      <x:c r="H51" s="24"/>
      <x:c r="I51" s="24"/>
      <x:c r="J51" s="34" t="str">
        <x:f>IF(H51="","",H51*(1+I51)^MAX(0,YEARFRAC(F51,G51)))</x:f>
      </x:c>
      <x:c r="K51" s="34" t="n">
        <x:f>SUMIFS(Goal_Allocations!$F:$F,Goal_Allocations!$C:$C,A51,Goal_Allocations!$G:$G,"POSTED")</x:f>
        <x:v>0</x:v>
      </x:c>
      <x:c r="L51" s="24"/>
      <x:c r="M51" s="24"/>
      <x:c r="N51" s="24"/>
      <x:c r="O51" s="36" t="n">
        <x:f>K51+L51+M51+N51</x:f>
        <x:v>0</x:v>
      </x:c>
      <x:c r="P51" s="36" t="n">
        <x:f>MAX(0,J51-O51)</x:f>
        <x:v>0</x:v>
      </x:c>
      <x:c r="Q51" s="26"/>
      <x:c r="R51" s="24"/>
      <x:c r="S51" s="36" t="n">
        <x:f>IF(OR(G51="",P51&lt;=0),0,IF(Q51=0,P51/MAX(1,DATEDIF(TODAY(),G51,"m")),PMT(Q51/12,MAX(1,DATEDIF(TODAY(),G51,"m")),0,-P51)))</x:f>
        <x:v>0</x:v>
      </x:c>
      <x:c r="T51" s="30" t="str">
        <x:f>IF(R51&lt;=0,"",EDATE(TODAY(),ROUNDUP(P51/R51,0)))</x:f>
      </x:c>
      <x:c r="U51" s="42" t="n">
        <x:f>IFERROR(O51/J51,0)</x:f>
        <x:v>0</x:v>
      </x:c>
      <x:c r="V51" t="str">
        <x:f>IF(J51="","",IF(O51&gt;=J51,"HOÀN THÀNH",IF(R51&gt;=S51,"ĐÚNG KẾ HOẠCH",IF(R51&gt;=S51*0.8,"NGUY CƠ CHẬM","KHÔNG ĐỦ NGUỒN"))))</x:f>
      </x:c>
      <x:c r="W51" s="22"/>
    </x:row>
    <x:row r="52">
      <x:c r="A52" s="22"/>
      <x:c r="B52" s="22"/>
      <x:c r="C52" s="22"/>
      <x:c r="D52" s="22"/>
      <x:c r="E52" s="22"/>
      <x:c r="F52" s="28"/>
      <x:c r="G52" s="28"/>
      <x:c r="H52" s="24"/>
      <x:c r="I52" s="24"/>
      <x:c r="J52" s="34" t="str">
        <x:f>IF(H52="","",H52*(1+I52)^MAX(0,YEARFRAC(F52,G52)))</x:f>
      </x:c>
      <x:c r="K52" s="34" t="n">
        <x:f>SUMIFS(Goal_Allocations!$F:$F,Goal_Allocations!$C:$C,A52,Goal_Allocations!$G:$G,"POSTED")</x:f>
        <x:v>0</x:v>
      </x:c>
      <x:c r="L52" s="24"/>
      <x:c r="M52" s="24"/>
      <x:c r="N52" s="24"/>
      <x:c r="O52" s="36" t="n">
        <x:f>K52+L52+M52+N52</x:f>
        <x:v>0</x:v>
      </x:c>
      <x:c r="P52" s="36" t="n">
        <x:f>MAX(0,J52-O52)</x:f>
        <x:v>0</x:v>
      </x:c>
      <x:c r="Q52" s="26"/>
      <x:c r="R52" s="24"/>
      <x:c r="S52" s="36" t="n">
        <x:f>IF(OR(G52="",P52&lt;=0),0,IF(Q52=0,P52/MAX(1,DATEDIF(TODAY(),G52,"m")),PMT(Q52/12,MAX(1,DATEDIF(TODAY(),G52,"m")),0,-P52)))</x:f>
        <x:v>0</x:v>
      </x:c>
      <x:c r="T52" s="30" t="str">
        <x:f>IF(R52&lt;=0,"",EDATE(TODAY(),ROUNDUP(P52/R52,0)))</x:f>
      </x:c>
      <x:c r="U52" s="42" t="n">
        <x:f>IFERROR(O52/J52,0)</x:f>
        <x:v>0</x:v>
      </x:c>
      <x:c r="V52" t="str">
        <x:f>IF(J52="","",IF(O52&gt;=J52,"HOÀN THÀNH",IF(R52&gt;=S52,"ĐÚNG KẾ HOẠCH",IF(R52&gt;=S52*0.8,"NGUY CƠ CHẬM","KHÔNG ĐỦ NGUỒN"))))</x:f>
      </x:c>
      <x:c r="W52" s="22"/>
    </x:row>
    <x:row r="53">
      <x:c r="A53" s="22"/>
      <x:c r="B53" s="22"/>
      <x:c r="C53" s="22"/>
      <x:c r="D53" s="22"/>
      <x:c r="E53" s="22"/>
      <x:c r="F53" s="28"/>
      <x:c r="G53" s="28"/>
      <x:c r="H53" s="24"/>
      <x:c r="I53" s="24"/>
      <x:c r="J53" s="34" t="str">
        <x:f>IF(H53="","",H53*(1+I53)^MAX(0,YEARFRAC(F53,G53)))</x:f>
      </x:c>
      <x:c r="K53" s="34" t="n">
        <x:f>SUMIFS(Goal_Allocations!$F:$F,Goal_Allocations!$C:$C,A53,Goal_Allocations!$G:$G,"POSTED")</x:f>
        <x:v>0</x:v>
      </x:c>
      <x:c r="L53" s="24"/>
      <x:c r="M53" s="24"/>
      <x:c r="N53" s="24"/>
      <x:c r="O53" s="36" t="n">
        <x:f>K53+L53+M53+N53</x:f>
        <x:v>0</x:v>
      </x:c>
      <x:c r="P53" s="36" t="n">
        <x:f>MAX(0,J53-O53)</x:f>
        <x:v>0</x:v>
      </x:c>
      <x:c r="Q53" s="26"/>
      <x:c r="R53" s="24"/>
      <x:c r="S53" s="36" t="n">
        <x:f>IF(OR(G53="",P53&lt;=0),0,IF(Q53=0,P53/MAX(1,DATEDIF(TODAY(),G53,"m")),PMT(Q53/12,MAX(1,DATEDIF(TODAY(),G53,"m")),0,-P53)))</x:f>
        <x:v>0</x:v>
      </x:c>
      <x:c r="T53" s="30" t="str">
        <x:f>IF(R53&lt;=0,"",EDATE(TODAY(),ROUNDUP(P53/R53,0)))</x:f>
      </x:c>
      <x:c r="U53" s="42" t="n">
        <x:f>IFERROR(O53/J53,0)</x:f>
        <x:v>0</x:v>
      </x:c>
      <x:c r="V53" t="str">
        <x:f>IF(J53="","",IF(O53&gt;=J53,"HOÀN THÀNH",IF(R53&gt;=S53,"ĐÚNG KẾ HOẠCH",IF(R53&gt;=S53*0.8,"NGUY CƠ CHẬM","KHÔNG ĐỦ NGUỒN"))))</x:f>
      </x:c>
      <x:c r="W53" s="22"/>
    </x:row>
    <x:row r="54">
      <x:c r="A54" s="22"/>
      <x:c r="B54" s="22"/>
      <x:c r="C54" s="22"/>
      <x:c r="D54" s="22"/>
      <x:c r="E54" s="22"/>
      <x:c r="F54" s="28"/>
      <x:c r="G54" s="28"/>
      <x:c r="H54" s="24"/>
      <x:c r="I54" s="24"/>
      <x:c r="J54" s="34" t="str">
        <x:f>IF(H54="","",H54*(1+I54)^MAX(0,YEARFRAC(F54,G54)))</x:f>
      </x:c>
      <x:c r="K54" s="34" t="n">
        <x:f>SUMIFS(Goal_Allocations!$F:$F,Goal_Allocations!$C:$C,A54,Goal_Allocations!$G:$G,"POSTED")</x:f>
        <x:v>0</x:v>
      </x:c>
      <x:c r="L54" s="24"/>
      <x:c r="M54" s="24"/>
      <x:c r="N54" s="24"/>
      <x:c r="O54" s="36" t="n">
        <x:f>K54+L54+M54+N54</x:f>
        <x:v>0</x:v>
      </x:c>
      <x:c r="P54" s="36" t="n">
        <x:f>MAX(0,J54-O54)</x:f>
        <x:v>0</x:v>
      </x:c>
      <x:c r="Q54" s="26"/>
      <x:c r="R54" s="24"/>
      <x:c r="S54" s="36" t="n">
        <x:f>IF(OR(G54="",P54&lt;=0),0,IF(Q54=0,P54/MAX(1,DATEDIF(TODAY(),G54,"m")),PMT(Q54/12,MAX(1,DATEDIF(TODAY(),G54,"m")),0,-P54)))</x:f>
        <x:v>0</x:v>
      </x:c>
      <x:c r="T54" s="30" t="str">
        <x:f>IF(R54&lt;=0,"",EDATE(TODAY(),ROUNDUP(P54/R54,0)))</x:f>
      </x:c>
      <x:c r="U54" s="42" t="n">
        <x:f>IFERROR(O54/J54,0)</x:f>
        <x:v>0</x:v>
      </x:c>
      <x:c r="V54" t="str">
        <x:f>IF(J54="","",IF(O54&gt;=J54,"HOÀN THÀNH",IF(R54&gt;=S54,"ĐÚNG KẾ HOẠCH",IF(R54&gt;=S54*0.8,"NGUY CƠ CHẬM","KHÔNG ĐỦ NGUỒN"))))</x:f>
      </x:c>
      <x:c r="W54" s="22"/>
    </x:row>
    <x:row r="55">
      <x:c r="A55" s="22"/>
      <x:c r="B55" s="22"/>
      <x:c r="C55" s="22"/>
      <x:c r="D55" s="22"/>
      <x:c r="E55" s="22"/>
      <x:c r="F55" s="28"/>
      <x:c r="G55" s="28"/>
      <x:c r="H55" s="24"/>
      <x:c r="I55" s="24"/>
      <x:c r="J55" s="34" t="str">
        <x:f>IF(H55="","",H55*(1+I55)^MAX(0,YEARFRAC(F55,G55)))</x:f>
      </x:c>
      <x:c r="K55" s="34" t="n">
        <x:f>SUMIFS(Goal_Allocations!$F:$F,Goal_Allocations!$C:$C,A55,Goal_Allocations!$G:$G,"POSTED")</x:f>
        <x:v>0</x:v>
      </x:c>
      <x:c r="L55" s="24"/>
      <x:c r="M55" s="24"/>
      <x:c r="N55" s="24"/>
      <x:c r="O55" s="36" t="n">
        <x:f>K55+L55+M55+N55</x:f>
        <x:v>0</x:v>
      </x:c>
      <x:c r="P55" s="36" t="n">
        <x:f>MAX(0,J55-O55)</x:f>
        <x:v>0</x:v>
      </x:c>
      <x:c r="Q55" s="26"/>
      <x:c r="R55" s="24"/>
      <x:c r="S55" s="36" t="n">
        <x:f>IF(OR(G55="",P55&lt;=0),0,IF(Q55=0,P55/MAX(1,DATEDIF(TODAY(),G55,"m")),PMT(Q55/12,MAX(1,DATEDIF(TODAY(),G55,"m")),0,-P55)))</x:f>
        <x:v>0</x:v>
      </x:c>
      <x:c r="T55" s="30" t="str">
        <x:f>IF(R55&lt;=0,"",EDATE(TODAY(),ROUNDUP(P55/R55,0)))</x:f>
      </x:c>
      <x:c r="U55" s="42" t="n">
        <x:f>IFERROR(O55/J55,0)</x:f>
        <x:v>0</x:v>
      </x:c>
      <x:c r="V55" t="str">
        <x:f>IF(J55="","",IF(O55&gt;=J55,"HOÀN THÀNH",IF(R55&gt;=S55,"ĐÚNG KẾ HOẠCH",IF(R55&gt;=S55*0.8,"NGUY CƠ CHẬM","KHÔNG ĐỦ NGUỒN"))))</x:f>
      </x:c>
      <x:c r="W55" s="22"/>
    </x:row>
    <x:row r="56">
      <x:c r="A56" s="22"/>
      <x:c r="B56" s="22"/>
      <x:c r="C56" s="22"/>
      <x:c r="D56" s="22"/>
      <x:c r="E56" s="22"/>
      <x:c r="F56" s="28"/>
      <x:c r="G56" s="28"/>
      <x:c r="H56" s="24"/>
      <x:c r="I56" s="24"/>
      <x:c r="J56" s="34" t="str">
        <x:f>IF(H56="","",H56*(1+I56)^MAX(0,YEARFRAC(F56,G56)))</x:f>
      </x:c>
      <x:c r="K56" s="34" t="n">
        <x:f>SUMIFS(Goal_Allocations!$F:$F,Goal_Allocations!$C:$C,A56,Goal_Allocations!$G:$G,"POSTED")</x:f>
        <x:v>0</x:v>
      </x:c>
      <x:c r="L56" s="24"/>
      <x:c r="M56" s="24"/>
      <x:c r="N56" s="24"/>
      <x:c r="O56" s="36" t="n">
        <x:f>K56+L56+M56+N56</x:f>
        <x:v>0</x:v>
      </x:c>
      <x:c r="P56" s="36" t="n">
        <x:f>MAX(0,J56-O56)</x:f>
        <x:v>0</x:v>
      </x:c>
      <x:c r="Q56" s="26"/>
      <x:c r="R56" s="24"/>
      <x:c r="S56" s="36" t="n">
        <x:f>IF(OR(G56="",P56&lt;=0),0,IF(Q56=0,P56/MAX(1,DATEDIF(TODAY(),G56,"m")),PMT(Q56/12,MAX(1,DATEDIF(TODAY(),G56,"m")),0,-P56)))</x:f>
        <x:v>0</x:v>
      </x:c>
      <x:c r="T56" s="30" t="str">
        <x:f>IF(R56&lt;=0,"",EDATE(TODAY(),ROUNDUP(P56/R56,0)))</x:f>
      </x:c>
      <x:c r="U56" s="42" t="n">
        <x:f>IFERROR(O56/J56,0)</x:f>
        <x:v>0</x:v>
      </x:c>
      <x:c r="V56" t="str">
        <x:f>IF(J56="","",IF(O56&gt;=J56,"HOÀN THÀNH",IF(R56&gt;=S56,"ĐÚNG KẾ HOẠCH",IF(R56&gt;=S56*0.8,"NGUY CƠ CHẬM","KHÔNG ĐỦ NGUỒN"))))</x:f>
      </x:c>
      <x:c r="W56" s="22"/>
    </x:row>
    <x:row r="57">
      <x:c r="A57" s="22"/>
      <x:c r="B57" s="22"/>
      <x:c r="C57" s="22"/>
      <x:c r="D57" s="22"/>
      <x:c r="E57" s="22"/>
      <x:c r="F57" s="28"/>
      <x:c r="G57" s="28"/>
      <x:c r="H57" s="24"/>
      <x:c r="I57" s="24"/>
      <x:c r="J57" s="34" t="str">
        <x:f>IF(H57="","",H57*(1+I57)^MAX(0,YEARFRAC(F57,G57)))</x:f>
      </x:c>
      <x:c r="K57" s="34" t="n">
        <x:f>SUMIFS(Goal_Allocations!$F:$F,Goal_Allocations!$C:$C,A57,Goal_Allocations!$G:$G,"POSTED")</x:f>
        <x:v>0</x:v>
      </x:c>
      <x:c r="L57" s="24"/>
      <x:c r="M57" s="24"/>
      <x:c r="N57" s="24"/>
      <x:c r="O57" s="36" t="n">
        <x:f>K57+L57+M57+N57</x:f>
        <x:v>0</x:v>
      </x:c>
      <x:c r="P57" s="36" t="n">
        <x:f>MAX(0,J57-O57)</x:f>
        <x:v>0</x:v>
      </x:c>
      <x:c r="Q57" s="26"/>
      <x:c r="R57" s="24"/>
      <x:c r="S57" s="36" t="n">
        <x:f>IF(OR(G57="",P57&lt;=0),0,IF(Q57=0,P57/MAX(1,DATEDIF(TODAY(),G57,"m")),PMT(Q57/12,MAX(1,DATEDIF(TODAY(),G57,"m")),0,-P57)))</x:f>
        <x:v>0</x:v>
      </x:c>
      <x:c r="T57" s="30" t="str">
        <x:f>IF(R57&lt;=0,"",EDATE(TODAY(),ROUNDUP(P57/R57,0)))</x:f>
      </x:c>
      <x:c r="U57" s="42" t="n">
        <x:f>IFERROR(O57/J57,0)</x:f>
        <x:v>0</x:v>
      </x:c>
      <x:c r="V57" t="str">
        <x:f>IF(J57="","",IF(O57&gt;=J57,"HOÀN THÀNH",IF(R57&gt;=S57,"ĐÚNG KẾ HOẠCH",IF(R57&gt;=S57*0.8,"NGUY CƠ CHẬM","KHÔNG ĐỦ NGUỒN"))))</x:f>
      </x:c>
      <x:c r="W57" s="22"/>
    </x:row>
    <x:row r="58">
      <x:c r="A58" s="22"/>
      <x:c r="B58" s="22"/>
      <x:c r="C58" s="22"/>
      <x:c r="D58" s="22"/>
      <x:c r="E58" s="22"/>
      <x:c r="F58" s="28"/>
      <x:c r="G58" s="28"/>
      <x:c r="H58" s="24"/>
      <x:c r="I58" s="24"/>
      <x:c r="J58" s="34" t="str">
        <x:f>IF(H58="","",H58*(1+I58)^MAX(0,YEARFRAC(F58,G58)))</x:f>
      </x:c>
      <x:c r="K58" s="34" t="n">
        <x:f>SUMIFS(Goal_Allocations!$F:$F,Goal_Allocations!$C:$C,A58,Goal_Allocations!$G:$G,"POSTED")</x:f>
        <x:v>0</x:v>
      </x:c>
      <x:c r="L58" s="24"/>
      <x:c r="M58" s="24"/>
      <x:c r="N58" s="24"/>
      <x:c r="O58" s="36" t="n">
        <x:f>K58+L58+M58+N58</x:f>
        <x:v>0</x:v>
      </x:c>
      <x:c r="P58" s="36" t="n">
        <x:f>MAX(0,J58-O58)</x:f>
        <x:v>0</x:v>
      </x:c>
      <x:c r="Q58" s="26"/>
      <x:c r="R58" s="24"/>
      <x:c r="S58" s="36" t="n">
        <x:f>IF(OR(G58="",P58&lt;=0),0,IF(Q58=0,P58/MAX(1,DATEDIF(TODAY(),G58,"m")),PMT(Q58/12,MAX(1,DATEDIF(TODAY(),G58,"m")),0,-P58)))</x:f>
        <x:v>0</x:v>
      </x:c>
      <x:c r="T58" s="30" t="str">
        <x:f>IF(R58&lt;=0,"",EDATE(TODAY(),ROUNDUP(P58/R58,0)))</x:f>
      </x:c>
      <x:c r="U58" s="42" t="n">
        <x:f>IFERROR(O58/J58,0)</x:f>
        <x:v>0</x:v>
      </x:c>
      <x:c r="V58" t="str">
        <x:f>IF(J58="","",IF(O58&gt;=J58,"HOÀN THÀNH",IF(R58&gt;=S58,"ĐÚNG KẾ HOẠCH",IF(R58&gt;=S58*0.8,"NGUY CƠ CHẬM","KHÔNG ĐỦ NGUỒN"))))</x:f>
      </x:c>
      <x:c r="W58" s="22"/>
    </x:row>
    <x:row r="59">
      <x:c r="A59" s="22"/>
      <x:c r="B59" s="22"/>
      <x:c r="C59" s="22"/>
      <x:c r="D59" s="22"/>
      <x:c r="E59" s="22"/>
      <x:c r="F59" s="28"/>
      <x:c r="G59" s="28"/>
      <x:c r="H59" s="24"/>
      <x:c r="I59" s="24"/>
      <x:c r="J59" s="34" t="str">
        <x:f>IF(H59="","",H59*(1+I59)^MAX(0,YEARFRAC(F59,G59)))</x:f>
      </x:c>
      <x:c r="K59" s="34" t="n">
        <x:f>SUMIFS(Goal_Allocations!$F:$F,Goal_Allocations!$C:$C,A59,Goal_Allocations!$G:$G,"POSTED")</x:f>
        <x:v>0</x:v>
      </x:c>
      <x:c r="L59" s="24"/>
      <x:c r="M59" s="24"/>
      <x:c r="N59" s="24"/>
      <x:c r="O59" s="36" t="n">
        <x:f>K59+L59+M59+N59</x:f>
        <x:v>0</x:v>
      </x:c>
      <x:c r="P59" s="36" t="n">
        <x:f>MAX(0,J59-O59)</x:f>
        <x:v>0</x:v>
      </x:c>
      <x:c r="Q59" s="26"/>
      <x:c r="R59" s="24"/>
      <x:c r="S59" s="36" t="n">
        <x:f>IF(OR(G59="",P59&lt;=0),0,IF(Q59=0,P59/MAX(1,DATEDIF(TODAY(),G59,"m")),PMT(Q59/12,MAX(1,DATEDIF(TODAY(),G59,"m")),0,-P59)))</x:f>
        <x:v>0</x:v>
      </x:c>
      <x:c r="T59" s="30" t="str">
        <x:f>IF(R59&lt;=0,"",EDATE(TODAY(),ROUNDUP(P59/R59,0)))</x:f>
      </x:c>
      <x:c r="U59" s="42" t="n">
        <x:f>IFERROR(O59/J59,0)</x:f>
        <x:v>0</x:v>
      </x:c>
      <x:c r="V59" t="str">
        <x:f>IF(J59="","",IF(O59&gt;=J59,"HOÀN THÀNH",IF(R59&gt;=S59,"ĐÚNG KẾ HOẠCH",IF(R59&gt;=S59*0.8,"NGUY CƠ CHẬM","KHÔNG ĐỦ NGUỒN"))))</x:f>
      </x:c>
      <x:c r="W59" s="22"/>
    </x:row>
    <x:row r="60">
      <x:c r="A60" s="22"/>
      <x:c r="B60" s="22"/>
      <x:c r="C60" s="22"/>
      <x:c r="D60" s="22"/>
      <x:c r="E60" s="22"/>
      <x:c r="F60" s="28"/>
      <x:c r="G60" s="28"/>
      <x:c r="H60" s="24"/>
      <x:c r="I60" s="24"/>
      <x:c r="J60" s="34" t="str">
        <x:f>IF(H60="","",H60*(1+I60)^MAX(0,YEARFRAC(F60,G60)))</x:f>
      </x:c>
      <x:c r="K60" s="34" t="n">
        <x:f>SUMIFS(Goal_Allocations!$F:$F,Goal_Allocations!$C:$C,A60,Goal_Allocations!$G:$G,"POSTED")</x:f>
        <x:v>0</x:v>
      </x:c>
      <x:c r="L60" s="24"/>
      <x:c r="M60" s="24"/>
      <x:c r="N60" s="24"/>
      <x:c r="O60" s="36" t="n">
        <x:f>K60+L60+M60+N60</x:f>
        <x:v>0</x:v>
      </x:c>
      <x:c r="P60" s="36" t="n">
        <x:f>MAX(0,J60-O60)</x:f>
        <x:v>0</x:v>
      </x:c>
      <x:c r="Q60" s="26"/>
      <x:c r="R60" s="24"/>
      <x:c r="S60" s="36" t="n">
        <x:f>IF(OR(G60="",P60&lt;=0),0,IF(Q60=0,P60/MAX(1,DATEDIF(TODAY(),G60,"m")),PMT(Q60/12,MAX(1,DATEDIF(TODAY(),G60,"m")),0,-P60)))</x:f>
        <x:v>0</x:v>
      </x:c>
      <x:c r="T60" s="30" t="str">
        <x:f>IF(R60&lt;=0,"",EDATE(TODAY(),ROUNDUP(P60/R60,0)))</x:f>
      </x:c>
      <x:c r="U60" s="42" t="n">
        <x:f>IFERROR(O60/J60,0)</x:f>
        <x:v>0</x:v>
      </x:c>
      <x:c r="V60" t="str">
        <x:f>IF(J60="","",IF(O60&gt;=J60,"HOÀN THÀNH",IF(R60&gt;=S60,"ĐÚNG KẾ HOẠCH",IF(R60&gt;=S60*0.8,"NGUY CƠ CHẬM","KHÔNG ĐỦ NGUỒN"))))</x:f>
      </x:c>
      <x:c r="W60" s="22"/>
    </x:row>
    <x:row r="61">
      <x:c r="A61" s="22"/>
      <x:c r="B61" s="22"/>
      <x:c r="C61" s="22"/>
      <x:c r="D61" s="22"/>
      <x:c r="E61" s="22"/>
      <x:c r="F61" s="28"/>
      <x:c r="G61" s="28"/>
      <x:c r="H61" s="24"/>
      <x:c r="I61" s="24"/>
      <x:c r="J61" s="34" t="str">
        <x:f>IF(H61="","",H61*(1+I61)^MAX(0,YEARFRAC(F61,G61)))</x:f>
      </x:c>
      <x:c r="K61" s="34" t="n">
        <x:f>SUMIFS(Goal_Allocations!$F:$F,Goal_Allocations!$C:$C,A61,Goal_Allocations!$G:$G,"POSTED")</x:f>
        <x:v>0</x:v>
      </x:c>
      <x:c r="L61" s="24"/>
      <x:c r="M61" s="24"/>
      <x:c r="N61" s="24"/>
      <x:c r="O61" s="36" t="n">
        <x:f>K61+L61+M61+N61</x:f>
        <x:v>0</x:v>
      </x:c>
      <x:c r="P61" s="36" t="n">
        <x:f>MAX(0,J61-O61)</x:f>
        <x:v>0</x:v>
      </x:c>
      <x:c r="Q61" s="26"/>
      <x:c r="R61" s="24"/>
      <x:c r="S61" s="36" t="n">
        <x:f>IF(OR(G61="",P61&lt;=0),0,IF(Q61=0,P61/MAX(1,DATEDIF(TODAY(),G61,"m")),PMT(Q61/12,MAX(1,DATEDIF(TODAY(),G61,"m")),0,-P61)))</x:f>
        <x:v>0</x:v>
      </x:c>
      <x:c r="T61" s="30" t="str">
        <x:f>IF(R61&lt;=0,"",EDATE(TODAY(),ROUNDUP(P61/R61,0)))</x:f>
      </x:c>
      <x:c r="U61" s="42" t="n">
        <x:f>IFERROR(O61/J61,0)</x:f>
        <x:v>0</x:v>
      </x:c>
      <x:c r="V61" t="str">
        <x:f>IF(J61="","",IF(O61&gt;=J61,"HOÀN THÀNH",IF(R61&gt;=S61,"ĐÚNG KẾ HOẠCH",IF(R61&gt;=S61*0.8,"NGUY CƠ CHẬM","KHÔNG ĐỦ NGUỒN"))))</x:f>
      </x:c>
      <x:c r="W61" s="22"/>
    </x:row>
    <x:row r="62">
      <x:c r="A62" s="22"/>
      <x:c r="B62" s="22"/>
      <x:c r="C62" s="22"/>
      <x:c r="D62" s="22"/>
      <x:c r="E62" s="22"/>
      <x:c r="F62" s="28"/>
      <x:c r="G62" s="28"/>
      <x:c r="H62" s="24"/>
      <x:c r="I62" s="24"/>
      <x:c r="J62" s="34" t="str">
        <x:f>IF(H62="","",H62*(1+I62)^MAX(0,YEARFRAC(F62,G62)))</x:f>
      </x:c>
      <x:c r="K62" s="34" t="n">
        <x:f>SUMIFS(Goal_Allocations!$F:$F,Goal_Allocations!$C:$C,A62,Goal_Allocations!$G:$G,"POSTED")</x:f>
        <x:v>0</x:v>
      </x:c>
      <x:c r="L62" s="24"/>
      <x:c r="M62" s="24"/>
      <x:c r="N62" s="24"/>
      <x:c r="O62" s="36" t="n">
        <x:f>K62+L62+M62+N62</x:f>
        <x:v>0</x:v>
      </x:c>
      <x:c r="P62" s="36" t="n">
        <x:f>MAX(0,J62-O62)</x:f>
        <x:v>0</x:v>
      </x:c>
      <x:c r="Q62" s="26"/>
      <x:c r="R62" s="24"/>
      <x:c r="S62" s="36" t="n">
        <x:f>IF(OR(G62="",P62&lt;=0),0,IF(Q62=0,P62/MAX(1,DATEDIF(TODAY(),G62,"m")),PMT(Q62/12,MAX(1,DATEDIF(TODAY(),G62,"m")),0,-P62)))</x:f>
        <x:v>0</x:v>
      </x:c>
      <x:c r="T62" s="30" t="str">
        <x:f>IF(R62&lt;=0,"",EDATE(TODAY(),ROUNDUP(P62/R62,0)))</x:f>
      </x:c>
      <x:c r="U62" s="42" t="n">
        <x:f>IFERROR(O62/J62,0)</x:f>
        <x:v>0</x:v>
      </x:c>
      <x:c r="V62" t="str">
        <x:f>IF(J62="","",IF(O62&gt;=J62,"HOÀN THÀNH",IF(R62&gt;=S62,"ĐÚNG KẾ HOẠCH",IF(R62&gt;=S62*0.8,"NGUY CƠ CHẬM","KHÔNG ĐỦ NGUỒN"))))</x:f>
      </x:c>
      <x:c r="W62" s="22"/>
    </x:row>
    <x:row r="63">
      <x:c r="A63" s="22"/>
      <x:c r="B63" s="22"/>
      <x:c r="C63" s="22"/>
      <x:c r="D63" s="22"/>
      <x:c r="E63" s="22"/>
      <x:c r="F63" s="28"/>
      <x:c r="G63" s="28"/>
      <x:c r="H63" s="24"/>
      <x:c r="I63" s="24"/>
      <x:c r="J63" s="34" t="str">
        <x:f>IF(H63="","",H63*(1+I63)^MAX(0,YEARFRAC(F63,G63)))</x:f>
      </x:c>
      <x:c r="K63" s="34" t="n">
        <x:f>SUMIFS(Goal_Allocations!$F:$F,Goal_Allocations!$C:$C,A63,Goal_Allocations!$G:$G,"POSTED")</x:f>
        <x:v>0</x:v>
      </x:c>
      <x:c r="L63" s="24"/>
      <x:c r="M63" s="24"/>
      <x:c r="N63" s="24"/>
      <x:c r="O63" s="36" t="n">
        <x:f>K63+L63+M63+N63</x:f>
        <x:v>0</x:v>
      </x:c>
      <x:c r="P63" s="36" t="n">
        <x:f>MAX(0,J63-O63)</x:f>
        <x:v>0</x:v>
      </x:c>
      <x:c r="Q63" s="26"/>
      <x:c r="R63" s="24"/>
      <x:c r="S63" s="36" t="n">
        <x:f>IF(OR(G63="",P63&lt;=0),0,IF(Q63=0,P63/MAX(1,DATEDIF(TODAY(),G63,"m")),PMT(Q63/12,MAX(1,DATEDIF(TODAY(),G63,"m")),0,-P63)))</x:f>
        <x:v>0</x:v>
      </x:c>
      <x:c r="T63" s="30" t="str">
        <x:f>IF(R63&lt;=0,"",EDATE(TODAY(),ROUNDUP(P63/R63,0)))</x:f>
      </x:c>
      <x:c r="U63" s="42" t="n">
        <x:f>IFERROR(O63/J63,0)</x:f>
        <x:v>0</x:v>
      </x:c>
      <x:c r="V63" t="str">
        <x:f>IF(J63="","",IF(O63&gt;=J63,"HOÀN THÀNH",IF(R63&gt;=S63,"ĐÚNG KẾ HOẠCH",IF(R63&gt;=S63*0.8,"NGUY CƠ CHẬM","KHÔNG ĐỦ NGUỒN"))))</x:f>
      </x:c>
      <x:c r="W63" s="22"/>
    </x:row>
    <x:row r="64">
      <x:c r="A64" s="22"/>
      <x:c r="B64" s="22"/>
      <x:c r="C64" s="22"/>
      <x:c r="D64" s="22"/>
      <x:c r="E64" s="22"/>
      <x:c r="F64" s="28"/>
      <x:c r="G64" s="28"/>
      <x:c r="H64" s="24"/>
      <x:c r="I64" s="24"/>
      <x:c r="J64" s="34" t="str">
        <x:f>IF(H64="","",H64*(1+I64)^MAX(0,YEARFRAC(F64,G64)))</x:f>
      </x:c>
      <x:c r="K64" s="34" t="n">
        <x:f>SUMIFS(Goal_Allocations!$F:$F,Goal_Allocations!$C:$C,A64,Goal_Allocations!$G:$G,"POSTED")</x:f>
        <x:v>0</x:v>
      </x:c>
      <x:c r="L64" s="24"/>
      <x:c r="M64" s="24"/>
      <x:c r="N64" s="24"/>
      <x:c r="O64" s="36" t="n">
        <x:f>K64+L64+M64+N64</x:f>
        <x:v>0</x:v>
      </x:c>
      <x:c r="P64" s="36" t="n">
        <x:f>MAX(0,J64-O64)</x:f>
        <x:v>0</x:v>
      </x:c>
      <x:c r="Q64" s="26"/>
      <x:c r="R64" s="24"/>
      <x:c r="S64" s="36" t="n">
        <x:f>IF(OR(G64="",P64&lt;=0),0,IF(Q64=0,P64/MAX(1,DATEDIF(TODAY(),G64,"m")),PMT(Q64/12,MAX(1,DATEDIF(TODAY(),G64,"m")),0,-P64)))</x:f>
        <x:v>0</x:v>
      </x:c>
      <x:c r="T64" s="30" t="str">
        <x:f>IF(R64&lt;=0,"",EDATE(TODAY(),ROUNDUP(P64/R64,0)))</x:f>
      </x:c>
      <x:c r="U64" s="42" t="n">
        <x:f>IFERROR(O64/J64,0)</x:f>
        <x:v>0</x:v>
      </x:c>
      <x:c r="V64" t="str">
        <x:f>IF(J64="","",IF(O64&gt;=J64,"HOÀN THÀNH",IF(R64&gt;=S64,"ĐÚNG KẾ HOẠCH",IF(R64&gt;=S64*0.8,"NGUY CƠ CHẬM","KHÔNG ĐỦ NGUỒN"))))</x:f>
      </x:c>
      <x:c r="W64" s="22"/>
    </x:row>
    <x:row r="65">
      <x:c r="A65" s="22"/>
      <x:c r="B65" s="22"/>
      <x:c r="C65" s="22"/>
      <x:c r="D65" s="22"/>
      <x:c r="E65" s="22"/>
      <x:c r="F65" s="28"/>
      <x:c r="G65" s="28"/>
      <x:c r="H65" s="24"/>
      <x:c r="I65" s="24"/>
      <x:c r="J65" s="34" t="str">
        <x:f>IF(H65="","",H65*(1+I65)^MAX(0,YEARFRAC(F65,G65)))</x:f>
      </x:c>
      <x:c r="K65" s="34" t="n">
        <x:f>SUMIFS(Goal_Allocations!$F:$F,Goal_Allocations!$C:$C,A65,Goal_Allocations!$G:$G,"POSTED")</x:f>
        <x:v>0</x:v>
      </x:c>
      <x:c r="L65" s="24"/>
      <x:c r="M65" s="24"/>
      <x:c r="N65" s="24"/>
      <x:c r="O65" s="36" t="n">
        <x:f>K65+L65+M65+N65</x:f>
        <x:v>0</x:v>
      </x:c>
      <x:c r="P65" s="36" t="n">
        <x:f>MAX(0,J65-O65)</x:f>
        <x:v>0</x:v>
      </x:c>
      <x:c r="Q65" s="26"/>
      <x:c r="R65" s="24"/>
      <x:c r="S65" s="36" t="n">
        <x:f>IF(OR(G65="",P65&lt;=0),0,IF(Q65=0,P65/MAX(1,DATEDIF(TODAY(),G65,"m")),PMT(Q65/12,MAX(1,DATEDIF(TODAY(),G65,"m")),0,-P65)))</x:f>
        <x:v>0</x:v>
      </x:c>
      <x:c r="T65" s="30" t="str">
        <x:f>IF(R65&lt;=0,"",EDATE(TODAY(),ROUNDUP(P65/R65,0)))</x:f>
      </x:c>
      <x:c r="U65" s="42" t="n">
        <x:f>IFERROR(O65/J65,0)</x:f>
        <x:v>0</x:v>
      </x:c>
      <x:c r="V65" t="str">
        <x:f>IF(J65="","",IF(O65&gt;=J65,"HOÀN THÀNH",IF(R65&gt;=S65,"ĐÚNG KẾ HOẠCH",IF(R65&gt;=S65*0.8,"NGUY CƠ CHẬM","KHÔNG ĐỦ NGUỒN"))))</x:f>
      </x:c>
      <x:c r="W65" s="22"/>
    </x:row>
    <x:row r="66">
      <x:c r="A66" s="22"/>
      <x:c r="B66" s="22"/>
      <x:c r="C66" s="22"/>
      <x:c r="D66" s="22"/>
      <x:c r="E66" s="22"/>
      <x:c r="F66" s="28"/>
      <x:c r="G66" s="28"/>
      <x:c r="H66" s="24"/>
      <x:c r="I66" s="24"/>
      <x:c r="J66" s="34" t="str">
        <x:f>IF(H66="","",H66*(1+I66)^MAX(0,YEARFRAC(F66,G66)))</x:f>
      </x:c>
      <x:c r="K66" s="34" t="n">
        <x:f>SUMIFS(Goal_Allocations!$F:$F,Goal_Allocations!$C:$C,A66,Goal_Allocations!$G:$G,"POSTED")</x:f>
        <x:v>0</x:v>
      </x:c>
      <x:c r="L66" s="24"/>
      <x:c r="M66" s="24"/>
      <x:c r="N66" s="24"/>
      <x:c r="O66" s="36" t="n">
        <x:f>K66+L66+M66+N66</x:f>
        <x:v>0</x:v>
      </x:c>
      <x:c r="P66" s="36" t="n">
        <x:f>MAX(0,J66-O66)</x:f>
        <x:v>0</x:v>
      </x:c>
      <x:c r="Q66" s="26"/>
      <x:c r="R66" s="24"/>
      <x:c r="S66" s="36" t="n">
        <x:f>IF(OR(G66="",P66&lt;=0),0,IF(Q66=0,P66/MAX(1,DATEDIF(TODAY(),G66,"m")),PMT(Q66/12,MAX(1,DATEDIF(TODAY(),G66,"m")),0,-P66)))</x:f>
        <x:v>0</x:v>
      </x:c>
      <x:c r="T66" s="30" t="str">
        <x:f>IF(R66&lt;=0,"",EDATE(TODAY(),ROUNDUP(P66/R66,0)))</x:f>
      </x:c>
      <x:c r="U66" s="42" t="n">
        <x:f>IFERROR(O66/J66,0)</x:f>
        <x:v>0</x:v>
      </x:c>
      <x:c r="V66" t="str">
        <x:f>IF(J66="","",IF(O66&gt;=J66,"HOÀN THÀNH",IF(R66&gt;=S66,"ĐÚNG KẾ HOẠCH",IF(R66&gt;=S66*0.8,"NGUY CƠ CHẬM","KHÔNG ĐỦ NGUỒN"))))</x:f>
      </x:c>
      <x:c r="W66" s="22"/>
    </x:row>
    <x:row r="67">
      <x:c r="A67" s="22"/>
      <x:c r="B67" s="22"/>
      <x:c r="C67" s="22"/>
      <x:c r="D67" s="22"/>
      <x:c r="E67" s="22"/>
      <x:c r="F67" s="28"/>
      <x:c r="G67" s="28"/>
      <x:c r="H67" s="24"/>
      <x:c r="I67" s="24"/>
      <x:c r="J67" s="34" t="str">
        <x:f>IF(H67="","",H67*(1+I67)^MAX(0,YEARFRAC(F67,G67)))</x:f>
      </x:c>
      <x:c r="K67" s="34" t="n">
        <x:f>SUMIFS(Goal_Allocations!$F:$F,Goal_Allocations!$C:$C,A67,Goal_Allocations!$G:$G,"POSTED")</x:f>
        <x:v>0</x:v>
      </x:c>
      <x:c r="L67" s="24"/>
      <x:c r="M67" s="24"/>
      <x:c r="N67" s="24"/>
      <x:c r="O67" s="36" t="n">
        <x:f>K67+L67+M67+N67</x:f>
        <x:v>0</x:v>
      </x:c>
      <x:c r="P67" s="36" t="n">
        <x:f>MAX(0,J67-O67)</x:f>
        <x:v>0</x:v>
      </x:c>
      <x:c r="Q67" s="26"/>
      <x:c r="R67" s="24"/>
      <x:c r="S67" s="36" t="n">
        <x:f>IF(OR(G67="",P67&lt;=0),0,IF(Q67=0,P67/MAX(1,DATEDIF(TODAY(),G67,"m")),PMT(Q67/12,MAX(1,DATEDIF(TODAY(),G67,"m")),0,-P67)))</x:f>
        <x:v>0</x:v>
      </x:c>
      <x:c r="T67" s="30" t="str">
        <x:f>IF(R67&lt;=0,"",EDATE(TODAY(),ROUNDUP(P67/R67,0)))</x:f>
      </x:c>
      <x:c r="U67" s="42" t="n">
        <x:f>IFERROR(O67/J67,0)</x:f>
        <x:v>0</x:v>
      </x:c>
      <x:c r="V67" t="str">
        <x:f>IF(J67="","",IF(O67&gt;=J67,"HOÀN THÀNH",IF(R67&gt;=S67,"ĐÚNG KẾ HOẠCH",IF(R67&gt;=S67*0.8,"NGUY CƠ CHẬM","KHÔNG ĐỦ NGUỒN"))))</x:f>
      </x:c>
      <x:c r="W67" s="22"/>
    </x:row>
    <x:row r="68">
      <x:c r="A68" s="22"/>
      <x:c r="B68" s="22"/>
      <x:c r="C68" s="22"/>
      <x:c r="D68" s="22"/>
      <x:c r="E68" s="22"/>
      <x:c r="F68" s="28"/>
      <x:c r="G68" s="28"/>
      <x:c r="H68" s="24"/>
      <x:c r="I68" s="24"/>
      <x:c r="J68" s="34" t="str">
        <x:f>IF(H68="","",H68*(1+I68)^MAX(0,YEARFRAC(F68,G68)))</x:f>
      </x:c>
      <x:c r="K68" s="34" t="n">
        <x:f>SUMIFS(Goal_Allocations!$F:$F,Goal_Allocations!$C:$C,A68,Goal_Allocations!$G:$G,"POSTED")</x:f>
        <x:v>0</x:v>
      </x:c>
      <x:c r="L68" s="24"/>
      <x:c r="M68" s="24"/>
      <x:c r="N68" s="24"/>
      <x:c r="O68" s="36" t="n">
        <x:f>K68+L68+M68+N68</x:f>
        <x:v>0</x:v>
      </x:c>
      <x:c r="P68" s="36" t="n">
        <x:f>MAX(0,J68-O68)</x:f>
        <x:v>0</x:v>
      </x:c>
      <x:c r="Q68" s="26"/>
      <x:c r="R68" s="24"/>
      <x:c r="S68" s="36" t="n">
        <x:f>IF(OR(G68="",P68&lt;=0),0,IF(Q68=0,P68/MAX(1,DATEDIF(TODAY(),G68,"m")),PMT(Q68/12,MAX(1,DATEDIF(TODAY(),G68,"m")),0,-P68)))</x:f>
        <x:v>0</x:v>
      </x:c>
      <x:c r="T68" s="30" t="str">
        <x:f>IF(R68&lt;=0,"",EDATE(TODAY(),ROUNDUP(P68/R68,0)))</x:f>
      </x:c>
      <x:c r="U68" s="42" t="n">
        <x:f>IFERROR(O68/J68,0)</x:f>
        <x:v>0</x:v>
      </x:c>
      <x:c r="V68" t="str">
        <x:f>IF(J68="","",IF(O68&gt;=J68,"HOÀN THÀNH",IF(R68&gt;=S68,"ĐÚNG KẾ HOẠCH",IF(R68&gt;=S68*0.8,"NGUY CƠ CHẬM","KHÔNG ĐỦ NGUỒN"))))</x:f>
      </x:c>
      <x:c r="W68" s="22"/>
    </x:row>
    <x:row r="69">
      <x:c r="A69" s="22"/>
      <x:c r="B69" s="22"/>
      <x:c r="C69" s="22"/>
      <x:c r="D69" s="22"/>
      <x:c r="E69" s="22"/>
      <x:c r="F69" s="28"/>
      <x:c r="G69" s="28"/>
      <x:c r="H69" s="24"/>
      <x:c r="I69" s="24"/>
      <x:c r="J69" s="34" t="str">
        <x:f>IF(H69="","",H69*(1+I69)^MAX(0,YEARFRAC(F69,G69)))</x:f>
      </x:c>
      <x:c r="K69" s="34" t="n">
        <x:f>SUMIFS(Goal_Allocations!$F:$F,Goal_Allocations!$C:$C,A69,Goal_Allocations!$G:$G,"POSTED")</x:f>
        <x:v>0</x:v>
      </x:c>
      <x:c r="L69" s="24"/>
      <x:c r="M69" s="24"/>
      <x:c r="N69" s="24"/>
      <x:c r="O69" s="36" t="n">
        <x:f>K69+L69+M69+N69</x:f>
        <x:v>0</x:v>
      </x:c>
      <x:c r="P69" s="36" t="n">
        <x:f>MAX(0,J69-O69)</x:f>
        <x:v>0</x:v>
      </x:c>
      <x:c r="Q69" s="26"/>
      <x:c r="R69" s="24"/>
      <x:c r="S69" s="36" t="n">
        <x:f>IF(OR(G69="",P69&lt;=0),0,IF(Q69=0,P69/MAX(1,DATEDIF(TODAY(),G69,"m")),PMT(Q69/12,MAX(1,DATEDIF(TODAY(),G69,"m")),0,-P69)))</x:f>
        <x:v>0</x:v>
      </x:c>
      <x:c r="T69" s="30" t="str">
        <x:f>IF(R69&lt;=0,"",EDATE(TODAY(),ROUNDUP(P69/R69,0)))</x:f>
      </x:c>
      <x:c r="U69" s="42" t="n">
        <x:f>IFERROR(O69/J69,0)</x:f>
        <x:v>0</x:v>
      </x:c>
      <x:c r="V69" t="str">
        <x:f>IF(J69="","",IF(O69&gt;=J69,"HOÀN THÀNH",IF(R69&gt;=S69,"ĐÚNG KẾ HOẠCH",IF(R69&gt;=S69*0.8,"NGUY CƠ CHẬM","KHÔNG ĐỦ NGUỒN"))))</x:f>
      </x:c>
      <x:c r="W69" s="22"/>
    </x:row>
    <x:row r="70">
      <x:c r="A70" s="22"/>
      <x:c r="B70" s="22"/>
      <x:c r="C70" s="22"/>
      <x:c r="D70" s="22"/>
      <x:c r="E70" s="22"/>
      <x:c r="F70" s="28"/>
      <x:c r="G70" s="28"/>
      <x:c r="H70" s="24"/>
      <x:c r="I70" s="24"/>
      <x:c r="J70" s="34" t="str">
        <x:f>IF(H70="","",H70*(1+I70)^MAX(0,YEARFRAC(F70,G70)))</x:f>
      </x:c>
      <x:c r="K70" s="34" t="n">
        <x:f>SUMIFS(Goal_Allocations!$F:$F,Goal_Allocations!$C:$C,A70,Goal_Allocations!$G:$G,"POSTED")</x:f>
        <x:v>0</x:v>
      </x:c>
      <x:c r="L70" s="24"/>
      <x:c r="M70" s="24"/>
      <x:c r="N70" s="24"/>
      <x:c r="O70" s="36" t="n">
        <x:f>K70+L70+M70+N70</x:f>
        <x:v>0</x:v>
      </x:c>
      <x:c r="P70" s="36" t="n">
        <x:f>MAX(0,J70-O70)</x:f>
        <x:v>0</x:v>
      </x:c>
      <x:c r="Q70" s="26"/>
      <x:c r="R70" s="24"/>
      <x:c r="S70" s="36" t="n">
        <x:f>IF(OR(G70="",P70&lt;=0),0,IF(Q70=0,P70/MAX(1,DATEDIF(TODAY(),G70,"m")),PMT(Q70/12,MAX(1,DATEDIF(TODAY(),G70,"m")),0,-P70)))</x:f>
        <x:v>0</x:v>
      </x:c>
      <x:c r="T70" s="30" t="str">
        <x:f>IF(R70&lt;=0,"",EDATE(TODAY(),ROUNDUP(P70/R70,0)))</x:f>
      </x:c>
      <x:c r="U70" s="42" t="n">
        <x:f>IFERROR(O70/J70,0)</x:f>
        <x:v>0</x:v>
      </x:c>
      <x:c r="V70" t="str">
        <x:f>IF(J70="","",IF(O70&gt;=J70,"HOÀN THÀNH",IF(R70&gt;=S70,"ĐÚNG KẾ HOẠCH",IF(R70&gt;=S70*0.8,"NGUY CƠ CHẬM","KHÔNG ĐỦ NGUỒN"))))</x:f>
      </x:c>
      <x:c r="W70" s="22"/>
    </x:row>
    <x:row r="71">
      <x:c r="A71" s="22"/>
      <x:c r="B71" s="22"/>
      <x:c r="C71" s="22"/>
      <x:c r="D71" s="22"/>
      <x:c r="E71" s="22"/>
      <x:c r="F71" s="28"/>
      <x:c r="G71" s="28"/>
      <x:c r="H71" s="24"/>
      <x:c r="I71" s="24"/>
      <x:c r="J71" s="34" t="str">
        <x:f>IF(H71="","",H71*(1+I71)^MAX(0,YEARFRAC(F71,G71)))</x:f>
      </x:c>
      <x:c r="K71" s="34" t="n">
        <x:f>SUMIFS(Goal_Allocations!$F:$F,Goal_Allocations!$C:$C,A71,Goal_Allocations!$G:$G,"POSTED")</x:f>
        <x:v>0</x:v>
      </x:c>
      <x:c r="L71" s="24"/>
      <x:c r="M71" s="24"/>
      <x:c r="N71" s="24"/>
      <x:c r="O71" s="36" t="n">
        <x:f>K71+L71+M71+N71</x:f>
        <x:v>0</x:v>
      </x:c>
      <x:c r="P71" s="36" t="n">
        <x:f>MAX(0,J71-O71)</x:f>
        <x:v>0</x:v>
      </x:c>
      <x:c r="Q71" s="26"/>
      <x:c r="R71" s="24"/>
      <x:c r="S71" s="36" t="n">
        <x:f>IF(OR(G71="",P71&lt;=0),0,IF(Q71=0,P71/MAX(1,DATEDIF(TODAY(),G71,"m")),PMT(Q71/12,MAX(1,DATEDIF(TODAY(),G71,"m")),0,-P71)))</x:f>
        <x:v>0</x:v>
      </x:c>
      <x:c r="T71" s="30" t="str">
        <x:f>IF(R71&lt;=0,"",EDATE(TODAY(),ROUNDUP(P71/R71,0)))</x:f>
      </x:c>
      <x:c r="U71" s="42" t="n">
        <x:f>IFERROR(O71/J71,0)</x:f>
        <x:v>0</x:v>
      </x:c>
      <x:c r="V71" t="str">
        <x:f>IF(J71="","",IF(O71&gt;=J71,"HOÀN THÀNH",IF(R71&gt;=S71,"ĐÚNG KẾ HOẠCH",IF(R71&gt;=S71*0.8,"NGUY CƠ CHẬM","KHÔNG ĐỦ NGUỒN"))))</x:f>
      </x:c>
      <x:c r="W71" s="22"/>
    </x:row>
    <x:row r="72">
      <x:c r="A72" s="22"/>
      <x:c r="B72" s="22"/>
      <x:c r="C72" s="22"/>
      <x:c r="D72" s="22"/>
      <x:c r="E72" s="22"/>
      <x:c r="F72" s="28"/>
      <x:c r="G72" s="28"/>
      <x:c r="H72" s="24"/>
      <x:c r="I72" s="24"/>
      <x:c r="J72" s="34" t="str">
        <x:f>IF(H72="","",H72*(1+I72)^MAX(0,YEARFRAC(F72,G72)))</x:f>
      </x:c>
      <x:c r="K72" s="34" t="n">
        <x:f>SUMIFS(Goal_Allocations!$F:$F,Goal_Allocations!$C:$C,A72,Goal_Allocations!$G:$G,"POSTED")</x:f>
        <x:v>0</x:v>
      </x:c>
      <x:c r="L72" s="24"/>
      <x:c r="M72" s="24"/>
      <x:c r="N72" s="24"/>
      <x:c r="O72" s="36" t="n">
        <x:f>K72+L72+M72+N72</x:f>
        <x:v>0</x:v>
      </x:c>
      <x:c r="P72" s="36" t="n">
        <x:f>MAX(0,J72-O72)</x:f>
        <x:v>0</x:v>
      </x:c>
      <x:c r="Q72" s="26"/>
      <x:c r="R72" s="24"/>
      <x:c r="S72" s="36" t="n">
        <x:f>IF(OR(G72="",P72&lt;=0),0,IF(Q72=0,P72/MAX(1,DATEDIF(TODAY(),G72,"m")),PMT(Q72/12,MAX(1,DATEDIF(TODAY(),G72,"m")),0,-P72)))</x:f>
        <x:v>0</x:v>
      </x:c>
      <x:c r="T72" s="30" t="str">
        <x:f>IF(R72&lt;=0,"",EDATE(TODAY(),ROUNDUP(P72/R72,0)))</x:f>
      </x:c>
      <x:c r="U72" s="42" t="n">
        <x:f>IFERROR(O72/J72,0)</x:f>
        <x:v>0</x:v>
      </x:c>
      <x:c r="V72" t="str">
        <x:f>IF(J72="","",IF(O72&gt;=J72,"HOÀN THÀNH",IF(R72&gt;=S72,"ĐÚNG KẾ HOẠCH",IF(R72&gt;=S72*0.8,"NGUY CƠ CHẬM","KHÔNG ĐỦ NGUỒN"))))</x:f>
      </x:c>
      <x:c r="W72" s="22"/>
    </x:row>
    <x:row r="73">
      <x:c r="A73" s="22"/>
      <x:c r="B73" s="22"/>
      <x:c r="C73" s="22"/>
      <x:c r="D73" s="22"/>
      <x:c r="E73" s="22"/>
      <x:c r="F73" s="28"/>
      <x:c r="G73" s="28"/>
      <x:c r="H73" s="24"/>
      <x:c r="I73" s="24"/>
      <x:c r="J73" s="34" t="str">
        <x:f>IF(H73="","",H73*(1+I73)^MAX(0,YEARFRAC(F73,G73)))</x:f>
      </x:c>
      <x:c r="K73" s="34" t="n">
        <x:f>SUMIFS(Goal_Allocations!$F:$F,Goal_Allocations!$C:$C,A73,Goal_Allocations!$G:$G,"POSTED")</x:f>
        <x:v>0</x:v>
      </x:c>
      <x:c r="L73" s="24"/>
      <x:c r="M73" s="24"/>
      <x:c r="N73" s="24"/>
      <x:c r="O73" s="36" t="n">
        <x:f>K73+L73+M73+N73</x:f>
        <x:v>0</x:v>
      </x:c>
      <x:c r="P73" s="36" t="n">
        <x:f>MAX(0,J73-O73)</x:f>
        <x:v>0</x:v>
      </x:c>
      <x:c r="Q73" s="26"/>
      <x:c r="R73" s="24"/>
      <x:c r="S73" s="36" t="n">
        <x:f>IF(OR(G73="",P73&lt;=0),0,IF(Q73=0,P73/MAX(1,DATEDIF(TODAY(),G73,"m")),PMT(Q73/12,MAX(1,DATEDIF(TODAY(),G73,"m")),0,-P73)))</x:f>
        <x:v>0</x:v>
      </x:c>
      <x:c r="T73" s="30" t="str">
        <x:f>IF(R73&lt;=0,"",EDATE(TODAY(),ROUNDUP(P73/R73,0)))</x:f>
      </x:c>
      <x:c r="U73" s="42" t="n">
        <x:f>IFERROR(O73/J73,0)</x:f>
        <x:v>0</x:v>
      </x:c>
      <x:c r="V73" t="str">
        <x:f>IF(J73="","",IF(O73&gt;=J73,"HOÀN THÀNH",IF(R73&gt;=S73,"ĐÚNG KẾ HOẠCH",IF(R73&gt;=S73*0.8,"NGUY CƠ CHẬM","KHÔNG ĐỦ NGUỒN"))))</x:f>
      </x:c>
      <x:c r="W73" s="22"/>
    </x:row>
    <x:row r="74">
      <x:c r="A74" s="22"/>
      <x:c r="B74" s="22"/>
      <x:c r="C74" s="22"/>
      <x:c r="D74" s="22"/>
      <x:c r="E74" s="22"/>
      <x:c r="F74" s="28"/>
      <x:c r="G74" s="28"/>
      <x:c r="H74" s="24"/>
      <x:c r="I74" s="24"/>
      <x:c r="J74" s="34" t="str">
        <x:f>IF(H74="","",H74*(1+I74)^MAX(0,YEARFRAC(F74,G74)))</x:f>
      </x:c>
      <x:c r="K74" s="34" t="n">
        <x:f>SUMIFS(Goal_Allocations!$F:$F,Goal_Allocations!$C:$C,A74,Goal_Allocations!$G:$G,"POSTED")</x:f>
        <x:v>0</x:v>
      </x:c>
      <x:c r="L74" s="24"/>
      <x:c r="M74" s="24"/>
      <x:c r="N74" s="24"/>
      <x:c r="O74" s="36" t="n">
        <x:f>K74+L74+M74+N74</x:f>
        <x:v>0</x:v>
      </x:c>
      <x:c r="P74" s="36" t="n">
        <x:f>MAX(0,J74-O74)</x:f>
        <x:v>0</x:v>
      </x:c>
      <x:c r="Q74" s="26"/>
      <x:c r="R74" s="24"/>
      <x:c r="S74" s="36" t="n">
        <x:f>IF(OR(G74="",P74&lt;=0),0,IF(Q74=0,P74/MAX(1,DATEDIF(TODAY(),G74,"m")),PMT(Q74/12,MAX(1,DATEDIF(TODAY(),G74,"m")),0,-P74)))</x:f>
        <x:v>0</x:v>
      </x:c>
      <x:c r="T74" s="30" t="str">
        <x:f>IF(R74&lt;=0,"",EDATE(TODAY(),ROUNDUP(P74/R74,0)))</x:f>
      </x:c>
      <x:c r="U74" s="42" t="n">
        <x:f>IFERROR(O74/J74,0)</x:f>
        <x:v>0</x:v>
      </x:c>
      <x:c r="V74" t="str">
        <x:f>IF(J74="","",IF(O74&gt;=J74,"HOÀN THÀNH",IF(R74&gt;=S74,"ĐÚNG KẾ HOẠCH",IF(R74&gt;=S74*0.8,"NGUY CƠ CHẬM","KHÔNG ĐỦ NGUỒN"))))</x:f>
      </x:c>
      <x:c r="W74" s="22"/>
    </x:row>
    <x:row r="75">
      <x:c r="A75" s="22"/>
      <x:c r="B75" s="22"/>
      <x:c r="C75" s="22"/>
      <x:c r="D75" s="22"/>
      <x:c r="E75" s="22"/>
      <x:c r="F75" s="28"/>
      <x:c r="G75" s="28"/>
      <x:c r="H75" s="24"/>
      <x:c r="I75" s="24"/>
      <x:c r="J75" s="34" t="str">
        <x:f>IF(H75="","",H75*(1+I75)^MAX(0,YEARFRAC(F75,G75)))</x:f>
      </x:c>
      <x:c r="K75" s="34" t="n">
        <x:f>SUMIFS(Goal_Allocations!$F:$F,Goal_Allocations!$C:$C,A75,Goal_Allocations!$G:$G,"POSTED")</x:f>
        <x:v>0</x:v>
      </x:c>
      <x:c r="L75" s="24"/>
      <x:c r="M75" s="24"/>
      <x:c r="N75" s="24"/>
      <x:c r="O75" s="36" t="n">
        <x:f>K75+L75+M75+N75</x:f>
        <x:v>0</x:v>
      </x:c>
      <x:c r="P75" s="36" t="n">
        <x:f>MAX(0,J75-O75)</x:f>
        <x:v>0</x:v>
      </x:c>
      <x:c r="Q75" s="26"/>
      <x:c r="R75" s="24"/>
      <x:c r="S75" s="36" t="n">
        <x:f>IF(OR(G75="",P75&lt;=0),0,IF(Q75=0,P75/MAX(1,DATEDIF(TODAY(),G75,"m")),PMT(Q75/12,MAX(1,DATEDIF(TODAY(),G75,"m")),0,-P75)))</x:f>
        <x:v>0</x:v>
      </x:c>
      <x:c r="T75" s="30" t="str">
        <x:f>IF(R75&lt;=0,"",EDATE(TODAY(),ROUNDUP(P75/R75,0)))</x:f>
      </x:c>
      <x:c r="U75" s="42" t="n">
        <x:f>IFERROR(O75/J75,0)</x:f>
        <x:v>0</x:v>
      </x:c>
      <x:c r="V75" t="str">
        <x:f>IF(J75="","",IF(O75&gt;=J75,"HOÀN THÀNH",IF(R75&gt;=S75,"ĐÚNG KẾ HOẠCH",IF(R75&gt;=S75*0.8,"NGUY CƠ CHẬM","KHÔNG ĐỦ NGUỒN"))))</x:f>
      </x:c>
      <x:c r="W75" s="22"/>
    </x:row>
    <x:row r="76">
      <x:c r="A76" s="22"/>
      <x:c r="B76" s="22"/>
      <x:c r="C76" s="22"/>
      <x:c r="D76" s="22"/>
      <x:c r="E76" s="22"/>
      <x:c r="F76" s="28"/>
      <x:c r="G76" s="28"/>
      <x:c r="H76" s="24"/>
      <x:c r="I76" s="24"/>
      <x:c r="J76" s="34" t="str">
        <x:f>IF(H76="","",H76*(1+I76)^MAX(0,YEARFRAC(F76,G76)))</x:f>
      </x:c>
      <x:c r="K76" s="34" t="n">
        <x:f>SUMIFS(Goal_Allocations!$F:$F,Goal_Allocations!$C:$C,A76,Goal_Allocations!$G:$G,"POSTED")</x:f>
        <x:v>0</x:v>
      </x:c>
      <x:c r="L76" s="24"/>
      <x:c r="M76" s="24"/>
      <x:c r="N76" s="24"/>
      <x:c r="O76" s="36" t="n">
        <x:f>K76+L76+M76+N76</x:f>
        <x:v>0</x:v>
      </x:c>
      <x:c r="P76" s="36" t="n">
        <x:f>MAX(0,J76-O76)</x:f>
        <x:v>0</x:v>
      </x:c>
      <x:c r="Q76" s="26"/>
      <x:c r="R76" s="24"/>
      <x:c r="S76" s="36" t="n">
        <x:f>IF(OR(G76="",P76&lt;=0),0,IF(Q76=0,P76/MAX(1,DATEDIF(TODAY(),G76,"m")),PMT(Q76/12,MAX(1,DATEDIF(TODAY(),G76,"m")),0,-P76)))</x:f>
        <x:v>0</x:v>
      </x:c>
      <x:c r="T76" s="30" t="str">
        <x:f>IF(R76&lt;=0,"",EDATE(TODAY(),ROUNDUP(P76/R76,0)))</x:f>
      </x:c>
      <x:c r="U76" s="42" t="n">
        <x:f>IFERROR(O76/J76,0)</x:f>
        <x:v>0</x:v>
      </x:c>
      <x:c r="V76" t="str">
        <x:f>IF(J76="","",IF(O76&gt;=J76,"HOÀN THÀNH",IF(R76&gt;=S76,"ĐÚNG KẾ HOẠCH",IF(R76&gt;=S76*0.8,"NGUY CƠ CHẬM","KHÔNG ĐỦ NGUỒN"))))</x:f>
      </x:c>
      <x:c r="W76" s="22"/>
    </x:row>
    <x:row r="77">
      <x:c r="A77" s="22"/>
      <x:c r="B77" s="22"/>
      <x:c r="C77" s="22"/>
      <x:c r="D77" s="22"/>
      <x:c r="E77" s="22"/>
      <x:c r="F77" s="28"/>
      <x:c r="G77" s="28"/>
      <x:c r="H77" s="24"/>
      <x:c r="I77" s="24"/>
      <x:c r="J77" s="34" t="str">
        <x:f>IF(H77="","",H77*(1+I77)^MAX(0,YEARFRAC(F77,G77)))</x:f>
      </x:c>
      <x:c r="K77" s="34" t="n">
        <x:f>SUMIFS(Goal_Allocations!$F:$F,Goal_Allocations!$C:$C,A77,Goal_Allocations!$G:$G,"POSTED")</x:f>
        <x:v>0</x:v>
      </x:c>
      <x:c r="L77" s="24"/>
      <x:c r="M77" s="24"/>
      <x:c r="N77" s="24"/>
      <x:c r="O77" s="36" t="n">
        <x:f>K77+L77+M77+N77</x:f>
        <x:v>0</x:v>
      </x:c>
      <x:c r="P77" s="36" t="n">
        <x:f>MAX(0,J77-O77)</x:f>
        <x:v>0</x:v>
      </x:c>
      <x:c r="Q77" s="26"/>
      <x:c r="R77" s="24"/>
      <x:c r="S77" s="36" t="n">
        <x:f>IF(OR(G77="",P77&lt;=0),0,IF(Q77=0,P77/MAX(1,DATEDIF(TODAY(),G77,"m")),PMT(Q77/12,MAX(1,DATEDIF(TODAY(),G77,"m")),0,-P77)))</x:f>
        <x:v>0</x:v>
      </x:c>
      <x:c r="T77" s="30" t="str">
        <x:f>IF(R77&lt;=0,"",EDATE(TODAY(),ROUNDUP(P77/R77,0)))</x:f>
      </x:c>
      <x:c r="U77" s="42" t="n">
        <x:f>IFERROR(O77/J77,0)</x:f>
        <x:v>0</x:v>
      </x:c>
      <x:c r="V77" t="str">
        <x:f>IF(J77="","",IF(O77&gt;=J77,"HOÀN THÀNH",IF(R77&gt;=S77,"ĐÚNG KẾ HOẠCH",IF(R77&gt;=S77*0.8,"NGUY CƠ CHẬM","KHÔNG ĐỦ NGUỒN"))))</x:f>
      </x:c>
      <x:c r="W77" s="22"/>
    </x:row>
    <x:row r="78">
      <x:c r="A78" s="22"/>
      <x:c r="B78" s="22"/>
      <x:c r="C78" s="22"/>
      <x:c r="D78" s="22"/>
      <x:c r="E78" s="22"/>
      <x:c r="F78" s="28"/>
      <x:c r="G78" s="28"/>
      <x:c r="H78" s="24"/>
      <x:c r="I78" s="24"/>
      <x:c r="J78" s="34" t="str">
        <x:f>IF(H78="","",H78*(1+I78)^MAX(0,YEARFRAC(F78,G78)))</x:f>
      </x:c>
      <x:c r="K78" s="34" t="n">
        <x:f>SUMIFS(Goal_Allocations!$F:$F,Goal_Allocations!$C:$C,A78,Goal_Allocations!$G:$G,"POSTED")</x:f>
        <x:v>0</x:v>
      </x:c>
      <x:c r="L78" s="24"/>
      <x:c r="M78" s="24"/>
      <x:c r="N78" s="24"/>
      <x:c r="O78" s="36" t="n">
        <x:f>K78+L78+M78+N78</x:f>
        <x:v>0</x:v>
      </x:c>
      <x:c r="P78" s="36" t="n">
        <x:f>MAX(0,J78-O78)</x:f>
        <x:v>0</x:v>
      </x:c>
      <x:c r="Q78" s="26"/>
      <x:c r="R78" s="24"/>
      <x:c r="S78" s="36" t="n">
        <x:f>IF(OR(G78="",P78&lt;=0),0,IF(Q78=0,P78/MAX(1,DATEDIF(TODAY(),G78,"m")),PMT(Q78/12,MAX(1,DATEDIF(TODAY(),G78,"m")),0,-P78)))</x:f>
        <x:v>0</x:v>
      </x:c>
      <x:c r="T78" s="30" t="str">
        <x:f>IF(R78&lt;=0,"",EDATE(TODAY(),ROUNDUP(P78/R78,0)))</x:f>
      </x:c>
      <x:c r="U78" s="42" t="n">
        <x:f>IFERROR(O78/J78,0)</x:f>
        <x:v>0</x:v>
      </x:c>
      <x:c r="V78" t="str">
        <x:f>IF(J78="","",IF(O78&gt;=J78,"HOÀN THÀNH",IF(R78&gt;=S78,"ĐÚNG KẾ HOẠCH",IF(R78&gt;=S78*0.8,"NGUY CƠ CHẬM","KHÔNG ĐỦ NGUỒN"))))</x:f>
      </x:c>
      <x:c r="W78" s="22"/>
    </x:row>
    <x:row r="79">
      <x:c r="A79" s="22"/>
      <x:c r="B79" s="22"/>
      <x:c r="C79" s="22"/>
      <x:c r="D79" s="22"/>
      <x:c r="E79" s="22"/>
      <x:c r="F79" s="28"/>
      <x:c r="G79" s="28"/>
      <x:c r="H79" s="24"/>
      <x:c r="I79" s="24"/>
      <x:c r="J79" s="34" t="str">
        <x:f>IF(H79="","",H79*(1+I79)^MAX(0,YEARFRAC(F79,G79)))</x:f>
      </x:c>
      <x:c r="K79" s="34" t="n">
        <x:f>SUMIFS(Goal_Allocations!$F:$F,Goal_Allocations!$C:$C,A79,Goal_Allocations!$G:$G,"POSTED")</x:f>
        <x:v>0</x:v>
      </x:c>
      <x:c r="L79" s="24"/>
      <x:c r="M79" s="24"/>
      <x:c r="N79" s="24"/>
      <x:c r="O79" s="36" t="n">
        <x:f>K79+L79+M79+N79</x:f>
        <x:v>0</x:v>
      </x:c>
      <x:c r="P79" s="36" t="n">
        <x:f>MAX(0,J79-O79)</x:f>
        <x:v>0</x:v>
      </x:c>
      <x:c r="Q79" s="26"/>
      <x:c r="R79" s="24"/>
      <x:c r="S79" s="36" t="n">
        <x:f>IF(OR(G79="",P79&lt;=0),0,IF(Q79=0,P79/MAX(1,DATEDIF(TODAY(),G79,"m")),PMT(Q79/12,MAX(1,DATEDIF(TODAY(),G79,"m")),0,-P79)))</x:f>
        <x:v>0</x:v>
      </x:c>
      <x:c r="T79" s="30" t="str">
        <x:f>IF(R79&lt;=0,"",EDATE(TODAY(),ROUNDUP(P79/R79,0)))</x:f>
      </x:c>
      <x:c r="U79" s="42" t="n">
        <x:f>IFERROR(O79/J79,0)</x:f>
        <x:v>0</x:v>
      </x:c>
      <x:c r="V79" t="str">
        <x:f>IF(J79="","",IF(O79&gt;=J79,"HOÀN THÀNH",IF(R79&gt;=S79,"ĐÚNG KẾ HOẠCH",IF(R79&gt;=S79*0.8,"NGUY CƠ CHẬM","KHÔNG ĐỦ NGUỒN"))))</x:f>
      </x:c>
      <x:c r="W79" s="22"/>
    </x:row>
    <x:row r="80">
      <x:c r="A80" s="22"/>
      <x:c r="B80" s="22"/>
      <x:c r="C80" s="22"/>
      <x:c r="D80" s="22"/>
      <x:c r="E80" s="22"/>
      <x:c r="F80" s="28"/>
      <x:c r="G80" s="28"/>
      <x:c r="H80" s="24"/>
      <x:c r="I80" s="24"/>
      <x:c r="J80" s="34" t="str">
        <x:f>IF(H80="","",H80*(1+I80)^MAX(0,YEARFRAC(F80,G80)))</x:f>
      </x:c>
      <x:c r="K80" s="34" t="n">
        <x:f>SUMIFS(Goal_Allocations!$F:$F,Goal_Allocations!$C:$C,A80,Goal_Allocations!$G:$G,"POSTED")</x:f>
        <x:v>0</x:v>
      </x:c>
      <x:c r="L80" s="24"/>
      <x:c r="M80" s="24"/>
      <x:c r="N80" s="24"/>
      <x:c r="O80" s="36" t="n">
        <x:f>K80+L80+M80+N80</x:f>
        <x:v>0</x:v>
      </x:c>
      <x:c r="P80" s="36" t="n">
        <x:f>MAX(0,J80-O80)</x:f>
        <x:v>0</x:v>
      </x:c>
      <x:c r="Q80" s="26"/>
      <x:c r="R80" s="24"/>
      <x:c r="S80" s="36" t="n">
        <x:f>IF(OR(G80="",P80&lt;=0),0,IF(Q80=0,P80/MAX(1,DATEDIF(TODAY(),G80,"m")),PMT(Q80/12,MAX(1,DATEDIF(TODAY(),G80,"m")),0,-P80)))</x:f>
        <x:v>0</x:v>
      </x:c>
      <x:c r="T80" s="30" t="str">
        <x:f>IF(R80&lt;=0,"",EDATE(TODAY(),ROUNDUP(P80/R80,0)))</x:f>
      </x:c>
      <x:c r="U80" s="42" t="n">
        <x:f>IFERROR(O80/J80,0)</x:f>
        <x:v>0</x:v>
      </x:c>
      <x:c r="V80" t="str">
        <x:f>IF(J80="","",IF(O80&gt;=J80,"HOÀN THÀNH",IF(R80&gt;=S80,"ĐÚNG KẾ HOẠCH",IF(R80&gt;=S80*0.8,"NGUY CƠ CHẬM","KHÔNG ĐỦ NGUỒN"))))</x:f>
      </x:c>
      <x:c r="W80" s="22"/>
    </x:row>
    <x:row r="81">
      <x:c r="A81" s="22"/>
      <x:c r="B81" s="22"/>
      <x:c r="C81" s="22"/>
      <x:c r="D81" s="22"/>
      <x:c r="E81" s="22"/>
      <x:c r="F81" s="28"/>
      <x:c r="G81" s="28"/>
      <x:c r="H81" s="24"/>
      <x:c r="I81" s="24"/>
      <x:c r="J81" s="34" t="str">
        <x:f>IF(H81="","",H81*(1+I81)^MAX(0,YEARFRAC(F81,G81)))</x:f>
      </x:c>
      <x:c r="K81" s="34" t="n">
        <x:f>SUMIFS(Goal_Allocations!$F:$F,Goal_Allocations!$C:$C,A81,Goal_Allocations!$G:$G,"POSTED")</x:f>
        <x:v>0</x:v>
      </x:c>
      <x:c r="L81" s="24"/>
      <x:c r="M81" s="24"/>
      <x:c r="N81" s="24"/>
      <x:c r="O81" s="36" t="n">
        <x:f>K81+L81+M81+N81</x:f>
        <x:v>0</x:v>
      </x:c>
      <x:c r="P81" s="36" t="n">
        <x:f>MAX(0,J81-O81)</x:f>
        <x:v>0</x:v>
      </x:c>
      <x:c r="Q81" s="26"/>
      <x:c r="R81" s="24"/>
      <x:c r="S81" s="36" t="n">
        <x:f>IF(OR(G81="",P81&lt;=0),0,IF(Q81=0,P81/MAX(1,DATEDIF(TODAY(),G81,"m")),PMT(Q81/12,MAX(1,DATEDIF(TODAY(),G81,"m")),0,-P81)))</x:f>
        <x:v>0</x:v>
      </x:c>
      <x:c r="T81" s="30" t="str">
        <x:f>IF(R81&lt;=0,"",EDATE(TODAY(),ROUNDUP(P81/R81,0)))</x:f>
      </x:c>
      <x:c r="U81" s="42" t="n">
        <x:f>IFERROR(O81/J81,0)</x:f>
        <x:v>0</x:v>
      </x:c>
      <x:c r="V81" t="str">
        <x:f>IF(J81="","",IF(O81&gt;=J81,"HOÀN THÀNH",IF(R81&gt;=S81,"ĐÚNG KẾ HOẠCH",IF(R81&gt;=S81*0.8,"NGUY CƠ CHẬM","KHÔNG ĐỦ NGUỒN"))))</x:f>
      </x:c>
      <x:c r="W81" s="22"/>
    </x:row>
    <x:row r="82">
      <x:c r="A82" s="22"/>
      <x:c r="B82" s="22"/>
      <x:c r="C82" s="22"/>
      <x:c r="D82" s="22"/>
      <x:c r="E82" s="22"/>
      <x:c r="F82" s="28"/>
      <x:c r="G82" s="28"/>
      <x:c r="H82" s="24"/>
      <x:c r="I82" s="24"/>
      <x:c r="J82" s="34" t="str">
        <x:f>IF(H82="","",H82*(1+I82)^MAX(0,YEARFRAC(F82,G82)))</x:f>
      </x:c>
      <x:c r="K82" s="34" t="n">
        <x:f>SUMIFS(Goal_Allocations!$F:$F,Goal_Allocations!$C:$C,A82,Goal_Allocations!$G:$G,"POSTED")</x:f>
        <x:v>0</x:v>
      </x:c>
      <x:c r="L82" s="24"/>
      <x:c r="M82" s="24"/>
      <x:c r="N82" s="24"/>
      <x:c r="O82" s="36" t="n">
        <x:f>K82+L82+M82+N82</x:f>
        <x:v>0</x:v>
      </x:c>
      <x:c r="P82" s="36" t="n">
        <x:f>MAX(0,J82-O82)</x:f>
        <x:v>0</x:v>
      </x:c>
      <x:c r="Q82" s="26"/>
      <x:c r="R82" s="24"/>
      <x:c r="S82" s="36" t="n">
        <x:f>IF(OR(G82="",P82&lt;=0),0,IF(Q82=0,P82/MAX(1,DATEDIF(TODAY(),G82,"m")),PMT(Q82/12,MAX(1,DATEDIF(TODAY(),G82,"m")),0,-P82)))</x:f>
        <x:v>0</x:v>
      </x:c>
      <x:c r="T82" s="30" t="str">
        <x:f>IF(R82&lt;=0,"",EDATE(TODAY(),ROUNDUP(P82/R82,0)))</x:f>
      </x:c>
      <x:c r="U82" s="42" t="n">
        <x:f>IFERROR(O82/J82,0)</x:f>
        <x:v>0</x:v>
      </x:c>
      <x:c r="V82" t="str">
        <x:f>IF(J82="","",IF(O82&gt;=J82,"HOÀN THÀNH",IF(R82&gt;=S82,"ĐÚNG KẾ HOẠCH",IF(R82&gt;=S82*0.8,"NGUY CƠ CHẬM","KHÔNG ĐỦ NGUỒN"))))</x:f>
      </x:c>
      <x:c r="W82" s="22"/>
    </x:row>
    <x:row r="83">
      <x:c r="A83" s="22"/>
      <x:c r="B83" s="22"/>
      <x:c r="C83" s="22"/>
      <x:c r="D83" s="22"/>
      <x:c r="E83" s="22"/>
      <x:c r="F83" s="28"/>
      <x:c r="G83" s="28"/>
      <x:c r="H83" s="24"/>
      <x:c r="I83" s="24"/>
      <x:c r="J83" s="34" t="str">
        <x:f>IF(H83="","",H83*(1+I83)^MAX(0,YEARFRAC(F83,G83)))</x:f>
      </x:c>
      <x:c r="K83" s="34" t="n">
        <x:f>SUMIFS(Goal_Allocations!$F:$F,Goal_Allocations!$C:$C,A83,Goal_Allocations!$G:$G,"POSTED")</x:f>
        <x:v>0</x:v>
      </x:c>
      <x:c r="L83" s="24"/>
      <x:c r="M83" s="24"/>
      <x:c r="N83" s="24"/>
      <x:c r="O83" s="36" t="n">
        <x:f>K83+L83+M83+N83</x:f>
        <x:v>0</x:v>
      </x:c>
      <x:c r="P83" s="36" t="n">
        <x:f>MAX(0,J83-O83)</x:f>
        <x:v>0</x:v>
      </x:c>
      <x:c r="Q83" s="26"/>
      <x:c r="R83" s="24"/>
      <x:c r="S83" s="36" t="n">
        <x:f>IF(OR(G83="",P83&lt;=0),0,IF(Q83=0,P83/MAX(1,DATEDIF(TODAY(),G83,"m")),PMT(Q83/12,MAX(1,DATEDIF(TODAY(),G83,"m")),0,-P83)))</x:f>
        <x:v>0</x:v>
      </x:c>
      <x:c r="T83" s="30" t="str">
        <x:f>IF(R83&lt;=0,"",EDATE(TODAY(),ROUNDUP(P83/R83,0)))</x:f>
      </x:c>
      <x:c r="U83" s="42" t="n">
        <x:f>IFERROR(O83/J83,0)</x:f>
        <x:v>0</x:v>
      </x:c>
      <x:c r="V83" t="str">
        <x:f>IF(J83="","",IF(O83&gt;=J83,"HOÀN THÀNH",IF(R83&gt;=S83,"ĐÚNG KẾ HOẠCH",IF(R83&gt;=S83*0.8,"NGUY CƠ CHẬM","KHÔNG ĐỦ NGUỒN"))))</x:f>
      </x:c>
      <x:c r="W83" s="22"/>
    </x:row>
    <x:row r="84">
      <x:c r="A84" s="22"/>
      <x:c r="B84" s="22"/>
      <x:c r="C84" s="22"/>
      <x:c r="D84" s="22"/>
      <x:c r="E84" s="22"/>
      <x:c r="F84" s="28"/>
      <x:c r="G84" s="28"/>
      <x:c r="H84" s="24"/>
      <x:c r="I84" s="24"/>
      <x:c r="J84" s="34" t="str">
        <x:f>IF(H84="","",H84*(1+I84)^MAX(0,YEARFRAC(F84,G84)))</x:f>
      </x:c>
      <x:c r="K84" s="34" t="n">
        <x:f>SUMIFS(Goal_Allocations!$F:$F,Goal_Allocations!$C:$C,A84,Goal_Allocations!$G:$G,"POSTED")</x:f>
        <x:v>0</x:v>
      </x:c>
      <x:c r="L84" s="24"/>
      <x:c r="M84" s="24"/>
      <x:c r="N84" s="24"/>
      <x:c r="O84" s="36" t="n">
        <x:f>K84+L84+M84+N84</x:f>
        <x:v>0</x:v>
      </x:c>
      <x:c r="P84" s="36" t="n">
        <x:f>MAX(0,J84-O84)</x:f>
        <x:v>0</x:v>
      </x:c>
      <x:c r="Q84" s="26"/>
      <x:c r="R84" s="24"/>
      <x:c r="S84" s="36" t="n">
        <x:f>IF(OR(G84="",P84&lt;=0),0,IF(Q84=0,P84/MAX(1,DATEDIF(TODAY(),G84,"m")),PMT(Q84/12,MAX(1,DATEDIF(TODAY(),G84,"m")),0,-P84)))</x:f>
        <x:v>0</x:v>
      </x:c>
      <x:c r="T84" s="30" t="str">
        <x:f>IF(R84&lt;=0,"",EDATE(TODAY(),ROUNDUP(P84/R84,0)))</x:f>
      </x:c>
      <x:c r="U84" s="42" t="n">
        <x:f>IFERROR(O84/J84,0)</x:f>
        <x:v>0</x:v>
      </x:c>
      <x:c r="V84" t="str">
        <x:f>IF(J84="","",IF(O84&gt;=J84,"HOÀN THÀNH",IF(R84&gt;=S84,"ĐÚNG KẾ HOẠCH",IF(R84&gt;=S84*0.8,"NGUY CƠ CHẬM","KHÔNG ĐỦ NGUỒN"))))</x:f>
      </x:c>
      <x:c r="W84" s="22"/>
    </x:row>
    <x:row r="85">
      <x:c r="A85" s="22"/>
      <x:c r="B85" s="22"/>
      <x:c r="C85" s="22"/>
      <x:c r="D85" s="22"/>
      <x:c r="E85" s="22"/>
      <x:c r="F85" s="28"/>
      <x:c r="G85" s="28"/>
      <x:c r="H85" s="24"/>
      <x:c r="I85" s="24"/>
      <x:c r="J85" s="34" t="str">
        <x:f>IF(H85="","",H85*(1+I85)^MAX(0,YEARFRAC(F85,G85)))</x:f>
      </x:c>
      <x:c r="K85" s="34" t="n">
        <x:f>SUMIFS(Goal_Allocations!$F:$F,Goal_Allocations!$C:$C,A85,Goal_Allocations!$G:$G,"POSTED")</x:f>
        <x:v>0</x:v>
      </x:c>
      <x:c r="L85" s="24"/>
      <x:c r="M85" s="24"/>
      <x:c r="N85" s="24"/>
      <x:c r="O85" s="36" t="n">
        <x:f>K85+L85+M85+N85</x:f>
        <x:v>0</x:v>
      </x:c>
      <x:c r="P85" s="36" t="n">
        <x:f>MAX(0,J85-O85)</x:f>
        <x:v>0</x:v>
      </x:c>
      <x:c r="Q85" s="26"/>
      <x:c r="R85" s="24"/>
      <x:c r="S85" s="36" t="n">
        <x:f>IF(OR(G85="",P85&lt;=0),0,IF(Q85=0,P85/MAX(1,DATEDIF(TODAY(),G85,"m")),PMT(Q85/12,MAX(1,DATEDIF(TODAY(),G85,"m")),0,-P85)))</x:f>
        <x:v>0</x:v>
      </x:c>
      <x:c r="T85" s="30" t="str">
        <x:f>IF(R85&lt;=0,"",EDATE(TODAY(),ROUNDUP(P85/R85,0)))</x:f>
      </x:c>
      <x:c r="U85" s="42" t="n">
        <x:f>IFERROR(O85/J85,0)</x:f>
        <x:v>0</x:v>
      </x:c>
      <x:c r="V85" t="str">
        <x:f>IF(J85="","",IF(O85&gt;=J85,"HOÀN THÀNH",IF(R85&gt;=S85,"ĐÚNG KẾ HOẠCH",IF(R85&gt;=S85*0.8,"NGUY CƠ CHẬM","KHÔNG ĐỦ NGUỒN"))))</x:f>
      </x:c>
      <x:c r="W85" s="22"/>
    </x:row>
    <x:row r="86">
      <x:c r="A86" s="22"/>
      <x:c r="B86" s="22"/>
      <x:c r="C86" s="22"/>
      <x:c r="D86" s="22"/>
      <x:c r="E86" s="22"/>
      <x:c r="F86" s="28"/>
      <x:c r="G86" s="28"/>
      <x:c r="H86" s="24"/>
      <x:c r="I86" s="24"/>
      <x:c r="J86" s="34" t="str">
        <x:f>IF(H86="","",H86*(1+I86)^MAX(0,YEARFRAC(F86,G86)))</x:f>
      </x:c>
      <x:c r="K86" s="34" t="n">
        <x:f>SUMIFS(Goal_Allocations!$F:$F,Goal_Allocations!$C:$C,A86,Goal_Allocations!$G:$G,"POSTED")</x:f>
        <x:v>0</x:v>
      </x:c>
      <x:c r="L86" s="24"/>
      <x:c r="M86" s="24"/>
      <x:c r="N86" s="24"/>
      <x:c r="O86" s="36" t="n">
        <x:f>K86+L86+M86+N86</x:f>
        <x:v>0</x:v>
      </x:c>
      <x:c r="P86" s="36" t="n">
        <x:f>MAX(0,J86-O86)</x:f>
        <x:v>0</x:v>
      </x:c>
      <x:c r="Q86" s="26"/>
      <x:c r="R86" s="24"/>
      <x:c r="S86" s="36" t="n">
        <x:f>IF(OR(G86="",P86&lt;=0),0,IF(Q86=0,P86/MAX(1,DATEDIF(TODAY(),G86,"m")),PMT(Q86/12,MAX(1,DATEDIF(TODAY(),G86,"m")),0,-P86)))</x:f>
        <x:v>0</x:v>
      </x:c>
      <x:c r="T86" s="30" t="str">
        <x:f>IF(R86&lt;=0,"",EDATE(TODAY(),ROUNDUP(P86/R86,0)))</x:f>
      </x:c>
      <x:c r="U86" s="42" t="n">
        <x:f>IFERROR(O86/J86,0)</x:f>
        <x:v>0</x:v>
      </x:c>
      <x:c r="V86" t="str">
        <x:f>IF(J86="","",IF(O86&gt;=J86,"HOÀN THÀNH",IF(R86&gt;=S86,"ĐÚNG KẾ HOẠCH",IF(R86&gt;=S86*0.8,"NGUY CƠ CHẬM","KHÔNG ĐỦ NGUỒN"))))</x:f>
      </x:c>
      <x:c r="W86" s="22"/>
    </x:row>
    <x:row r="87">
      <x:c r="A87" s="22"/>
      <x:c r="B87" s="22"/>
      <x:c r="C87" s="22"/>
      <x:c r="D87" s="22"/>
      <x:c r="E87" s="22"/>
      <x:c r="F87" s="28"/>
      <x:c r="G87" s="28"/>
      <x:c r="H87" s="24"/>
      <x:c r="I87" s="24"/>
      <x:c r="J87" s="34" t="str">
        <x:f>IF(H87="","",H87*(1+I87)^MAX(0,YEARFRAC(F87,G87)))</x:f>
      </x:c>
      <x:c r="K87" s="34" t="n">
        <x:f>SUMIFS(Goal_Allocations!$F:$F,Goal_Allocations!$C:$C,A87,Goal_Allocations!$G:$G,"POSTED")</x:f>
        <x:v>0</x:v>
      </x:c>
      <x:c r="L87" s="24"/>
      <x:c r="M87" s="24"/>
      <x:c r="N87" s="24"/>
      <x:c r="O87" s="36" t="n">
        <x:f>K87+L87+M87+N87</x:f>
        <x:v>0</x:v>
      </x:c>
      <x:c r="P87" s="36" t="n">
        <x:f>MAX(0,J87-O87)</x:f>
        <x:v>0</x:v>
      </x:c>
      <x:c r="Q87" s="26"/>
      <x:c r="R87" s="24"/>
      <x:c r="S87" s="36" t="n">
        <x:f>IF(OR(G87="",P87&lt;=0),0,IF(Q87=0,P87/MAX(1,DATEDIF(TODAY(),G87,"m")),PMT(Q87/12,MAX(1,DATEDIF(TODAY(),G87,"m")),0,-P87)))</x:f>
        <x:v>0</x:v>
      </x:c>
      <x:c r="T87" s="30" t="str">
        <x:f>IF(R87&lt;=0,"",EDATE(TODAY(),ROUNDUP(P87/R87,0)))</x:f>
      </x:c>
      <x:c r="U87" s="42" t="n">
        <x:f>IFERROR(O87/J87,0)</x:f>
        <x:v>0</x:v>
      </x:c>
      <x:c r="V87" t="str">
        <x:f>IF(J87="","",IF(O87&gt;=J87,"HOÀN THÀNH",IF(R87&gt;=S87,"ĐÚNG KẾ HOẠCH",IF(R87&gt;=S87*0.8,"NGUY CƠ CHẬM","KHÔNG ĐỦ NGUỒN"))))</x:f>
      </x:c>
      <x:c r="W87" s="22"/>
    </x:row>
    <x:row r="88">
      <x:c r="A88" s="22"/>
      <x:c r="B88" s="22"/>
      <x:c r="C88" s="22"/>
      <x:c r="D88" s="22"/>
      <x:c r="E88" s="22"/>
      <x:c r="F88" s="28"/>
      <x:c r="G88" s="28"/>
      <x:c r="H88" s="24"/>
      <x:c r="I88" s="24"/>
      <x:c r="J88" s="34" t="str">
        <x:f>IF(H88="","",H88*(1+I88)^MAX(0,YEARFRAC(F88,G88)))</x:f>
      </x:c>
      <x:c r="K88" s="34" t="n">
        <x:f>SUMIFS(Goal_Allocations!$F:$F,Goal_Allocations!$C:$C,A88,Goal_Allocations!$G:$G,"POSTED")</x:f>
        <x:v>0</x:v>
      </x:c>
      <x:c r="L88" s="24"/>
      <x:c r="M88" s="24"/>
      <x:c r="N88" s="24"/>
      <x:c r="O88" s="36" t="n">
        <x:f>K88+L88+M88+N88</x:f>
        <x:v>0</x:v>
      </x:c>
      <x:c r="P88" s="36" t="n">
        <x:f>MAX(0,J88-O88)</x:f>
        <x:v>0</x:v>
      </x:c>
      <x:c r="Q88" s="26"/>
      <x:c r="R88" s="24"/>
      <x:c r="S88" s="36" t="n">
        <x:f>IF(OR(G88="",P88&lt;=0),0,IF(Q88=0,P88/MAX(1,DATEDIF(TODAY(),G88,"m")),PMT(Q88/12,MAX(1,DATEDIF(TODAY(),G88,"m")),0,-P88)))</x:f>
        <x:v>0</x:v>
      </x:c>
      <x:c r="T88" s="30" t="str">
        <x:f>IF(R88&lt;=0,"",EDATE(TODAY(),ROUNDUP(P88/R88,0)))</x:f>
      </x:c>
      <x:c r="U88" s="42" t="n">
        <x:f>IFERROR(O88/J88,0)</x:f>
        <x:v>0</x:v>
      </x:c>
      <x:c r="V88" t="str">
        <x:f>IF(J88="","",IF(O88&gt;=J88,"HOÀN THÀNH",IF(R88&gt;=S88,"ĐÚNG KẾ HOẠCH",IF(R88&gt;=S88*0.8,"NGUY CƠ CHẬM","KHÔNG ĐỦ NGUỒN"))))</x:f>
      </x:c>
      <x:c r="W88" s="22"/>
    </x:row>
    <x:row r="89">
      <x:c r="A89" s="22"/>
      <x:c r="B89" s="22"/>
      <x:c r="C89" s="22"/>
      <x:c r="D89" s="22"/>
      <x:c r="E89" s="22"/>
      <x:c r="F89" s="28"/>
      <x:c r="G89" s="28"/>
      <x:c r="H89" s="24"/>
      <x:c r="I89" s="24"/>
      <x:c r="J89" s="34" t="str">
        <x:f>IF(H89="","",H89*(1+I89)^MAX(0,YEARFRAC(F89,G89)))</x:f>
      </x:c>
      <x:c r="K89" s="34" t="n">
        <x:f>SUMIFS(Goal_Allocations!$F:$F,Goal_Allocations!$C:$C,A89,Goal_Allocations!$G:$G,"POSTED")</x:f>
        <x:v>0</x:v>
      </x:c>
      <x:c r="L89" s="24"/>
      <x:c r="M89" s="24"/>
      <x:c r="N89" s="24"/>
      <x:c r="O89" s="36" t="n">
        <x:f>K89+L89+M89+N89</x:f>
        <x:v>0</x:v>
      </x:c>
      <x:c r="P89" s="36" t="n">
        <x:f>MAX(0,J89-O89)</x:f>
        <x:v>0</x:v>
      </x:c>
      <x:c r="Q89" s="26"/>
      <x:c r="R89" s="24"/>
      <x:c r="S89" s="36" t="n">
        <x:f>IF(OR(G89="",P89&lt;=0),0,IF(Q89=0,P89/MAX(1,DATEDIF(TODAY(),G89,"m")),PMT(Q89/12,MAX(1,DATEDIF(TODAY(),G89,"m")),0,-P89)))</x:f>
        <x:v>0</x:v>
      </x:c>
      <x:c r="T89" s="30" t="str">
        <x:f>IF(R89&lt;=0,"",EDATE(TODAY(),ROUNDUP(P89/R89,0)))</x:f>
      </x:c>
      <x:c r="U89" s="42" t="n">
        <x:f>IFERROR(O89/J89,0)</x:f>
        <x:v>0</x:v>
      </x:c>
      <x:c r="V89" t="str">
        <x:f>IF(J89="","",IF(O89&gt;=J89,"HOÀN THÀNH",IF(R89&gt;=S89,"ĐÚNG KẾ HOẠCH",IF(R89&gt;=S89*0.8,"NGUY CƠ CHẬM","KHÔNG ĐỦ NGUỒN"))))</x:f>
      </x:c>
      <x:c r="W89" s="22"/>
    </x:row>
    <x:row r="90">
      <x:c r="A90" s="22"/>
      <x:c r="B90" s="22"/>
      <x:c r="C90" s="22"/>
      <x:c r="D90" s="22"/>
      <x:c r="E90" s="22"/>
      <x:c r="F90" s="28"/>
      <x:c r="G90" s="28"/>
      <x:c r="H90" s="24"/>
      <x:c r="I90" s="24"/>
      <x:c r="J90" s="34" t="str">
        <x:f>IF(H90="","",H90*(1+I90)^MAX(0,YEARFRAC(F90,G90)))</x:f>
      </x:c>
      <x:c r="K90" s="34" t="n">
        <x:f>SUMIFS(Goal_Allocations!$F:$F,Goal_Allocations!$C:$C,A90,Goal_Allocations!$G:$G,"POSTED")</x:f>
        <x:v>0</x:v>
      </x:c>
      <x:c r="L90" s="24"/>
      <x:c r="M90" s="24"/>
      <x:c r="N90" s="24"/>
      <x:c r="O90" s="36" t="n">
        <x:f>K90+L90+M90+N90</x:f>
        <x:v>0</x:v>
      </x:c>
      <x:c r="P90" s="36" t="n">
        <x:f>MAX(0,J90-O90)</x:f>
        <x:v>0</x:v>
      </x:c>
      <x:c r="Q90" s="26"/>
      <x:c r="R90" s="24"/>
      <x:c r="S90" s="36" t="n">
        <x:f>IF(OR(G90="",P90&lt;=0),0,IF(Q90=0,P90/MAX(1,DATEDIF(TODAY(),G90,"m")),PMT(Q90/12,MAX(1,DATEDIF(TODAY(),G90,"m")),0,-P90)))</x:f>
        <x:v>0</x:v>
      </x:c>
      <x:c r="T90" s="30" t="str">
        <x:f>IF(R90&lt;=0,"",EDATE(TODAY(),ROUNDUP(P90/R90,0)))</x:f>
      </x:c>
      <x:c r="U90" s="42" t="n">
        <x:f>IFERROR(O90/J90,0)</x:f>
        <x:v>0</x:v>
      </x:c>
      <x:c r="V90" t="str">
        <x:f>IF(J90="","",IF(O90&gt;=J90,"HOÀN THÀNH",IF(R90&gt;=S90,"ĐÚNG KẾ HOẠCH",IF(R90&gt;=S90*0.8,"NGUY CƠ CHẬM","KHÔNG ĐỦ NGUỒN"))))</x:f>
      </x:c>
      <x:c r="W90" s="22"/>
    </x:row>
    <x:row r="91">
      <x:c r="A91" s="22"/>
      <x:c r="B91" s="22"/>
      <x:c r="C91" s="22"/>
      <x:c r="D91" s="22"/>
      <x:c r="E91" s="22"/>
      <x:c r="F91" s="28"/>
      <x:c r="G91" s="28"/>
      <x:c r="H91" s="24"/>
      <x:c r="I91" s="24"/>
      <x:c r="J91" s="34" t="str">
        <x:f>IF(H91="","",H91*(1+I91)^MAX(0,YEARFRAC(F91,G91)))</x:f>
      </x:c>
      <x:c r="K91" s="34" t="n">
        <x:f>SUMIFS(Goal_Allocations!$F:$F,Goal_Allocations!$C:$C,A91,Goal_Allocations!$G:$G,"POSTED")</x:f>
        <x:v>0</x:v>
      </x:c>
      <x:c r="L91" s="24"/>
      <x:c r="M91" s="24"/>
      <x:c r="N91" s="24"/>
      <x:c r="O91" s="36" t="n">
        <x:f>K91+L91+M91+N91</x:f>
        <x:v>0</x:v>
      </x:c>
      <x:c r="P91" s="36" t="n">
        <x:f>MAX(0,J91-O91)</x:f>
        <x:v>0</x:v>
      </x:c>
      <x:c r="Q91" s="26"/>
      <x:c r="R91" s="24"/>
      <x:c r="S91" s="36" t="n">
        <x:f>IF(OR(G91="",P91&lt;=0),0,IF(Q91=0,P91/MAX(1,DATEDIF(TODAY(),G91,"m")),PMT(Q91/12,MAX(1,DATEDIF(TODAY(),G91,"m")),0,-P91)))</x:f>
        <x:v>0</x:v>
      </x:c>
      <x:c r="T91" s="30" t="str">
        <x:f>IF(R91&lt;=0,"",EDATE(TODAY(),ROUNDUP(P91/R91,0)))</x:f>
      </x:c>
      <x:c r="U91" s="42" t="n">
        <x:f>IFERROR(O91/J91,0)</x:f>
        <x:v>0</x:v>
      </x:c>
      <x:c r="V91" t="str">
        <x:f>IF(J91="","",IF(O91&gt;=J91,"HOÀN THÀNH",IF(R91&gt;=S91,"ĐÚNG KẾ HOẠCH",IF(R91&gt;=S91*0.8,"NGUY CƠ CHẬM","KHÔNG ĐỦ NGUỒN"))))</x:f>
      </x:c>
      <x:c r="W91" s="22"/>
    </x:row>
    <x:row r="92">
      <x:c r="A92" s="22"/>
      <x:c r="B92" s="22"/>
      <x:c r="C92" s="22"/>
      <x:c r="D92" s="22"/>
      <x:c r="E92" s="22"/>
      <x:c r="F92" s="28"/>
      <x:c r="G92" s="28"/>
      <x:c r="H92" s="24"/>
      <x:c r="I92" s="24"/>
      <x:c r="J92" s="34" t="str">
        <x:f>IF(H92="","",H92*(1+I92)^MAX(0,YEARFRAC(F92,G92)))</x:f>
      </x:c>
      <x:c r="K92" s="34" t="n">
        <x:f>SUMIFS(Goal_Allocations!$F:$F,Goal_Allocations!$C:$C,A92,Goal_Allocations!$G:$G,"POSTED")</x:f>
        <x:v>0</x:v>
      </x:c>
      <x:c r="L92" s="24"/>
      <x:c r="M92" s="24"/>
      <x:c r="N92" s="24"/>
      <x:c r="O92" s="36" t="n">
        <x:f>K92+L92+M92+N92</x:f>
        <x:v>0</x:v>
      </x:c>
      <x:c r="P92" s="36" t="n">
        <x:f>MAX(0,J92-O92)</x:f>
        <x:v>0</x:v>
      </x:c>
      <x:c r="Q92" s="26"/>
      <x:c r="R92" s="24"/>
      <x:c r="S92" s="36" t="n">
        <x:f>IF(OR(G92="",P92&lt;=0),0,IF(Q92=0,P92/MAX(1,DATEDIF(TODAY(),G92,"m")),PMT(Q92/12,MAX(1,DATEDIF(TODAY(),G92,"m")),0,-P92)))</x:f>
        <x:v>0</x:v>
      </x:c>
      <x:c r="T92" s="30" t="str">
        <x:f>IF(R92&lt;=0,"",EDATE(TODAY(),ROUNDUP(P92/R92,0)))</x:f>
      </x:c>
      <x:c r="U92" s="42" t="n">
        <x:f>IFERROR(O92/J92,0)</x:f>
        <x:v>0</x:v>
      </x:c>
      <x:c r="V92" t="str">
        <x:f>IF(J92="","",IF(O92&gt;=J92,"HOÀN THÀNH",IF(R92&gt;=S92,"ĐÚNG KẾ HOẠCH",IF(R92&gt;=S92*0.8,"NGUY CƠ CHẬM","KHÔNG ĐỦ NGUỒN"))))</x:f>
      </x:c>
      <x:c r="W92" s="22"/>
    </x:row>
    <x:row r="93">
      <x:c r="A93" s="22"/>
      <x:c r="B93" s="22"/>
      <x:c r="C93" s="22"/>
      <x:c r="D93" s="22"/>
      <x:c r="E93" s="22"/>
      <x:c r="F93" s="28"/>
      <x:c r="G93" s="28"/>
      <x:c r="H93" s="24"/>
      <x:c r="I93" s="24"/>
      <x:c r="J93" s="34" t="str">
        <x:f>IF(H93="","",H93*(1+I93)^MAX(0,YEARFRAC(F93,G93)))</x:f>
      </x:c>
      <x:c r="K93" s="34" t="n">
        <x:f>SUMIFS(Goal_Allocations!$F:$F,Goal_Allocations!$C:$C,A93,Goal_Allocations!$G:$G,"POSTED")</x:f>
        <x:v>0</x:v>
      </x:c>
      <x:c r="L93" s="24"/>
      <x:c r="M93" s="24"/>
      <x:c r="N93" s="24"/>
      <x:c r="O93" s="36" t="n">
        <x:f>K93+L93+M93+N93</x:f>
        <x:v>0</x:v>
      </x:c>
      <x:c r="P93" s="36" t="n">
        <x:f>MAX(0,J93-O93)</x:f>
        <x:v>0</x:v>
      </x:c>
      <x:c r="Q93" s="26"/>
      <x:c r="R93" s="24"/>
      <x:c r="S93" s="36" t="n">
        <x:f>IF(OR(G93="",P93&lt;=0),0,IF(Q93=0,P93/MAX(1,DATEDIF(TODAY(),G93,"m")),PMT(Q93/12,MAX(1,DATEDIF(TODAY(),G93,"m")),0,-P93)))</x:f>
        <x:v>0</x:v>
      </x:c>
      <x:c r="T93" s="30" t="str">
        <x:f>IF(R93&lt;=0,"",EDATE(TODAY(),ROUNDUP(P93/R93,0)))</x:f>
      </x:c>
      <x:c r="U93" s="42" t="n">
        <x:f>IFERROR(O93/J93,0)</x:f>
        <x:v>0</x:v>
      </x:c>
      <x:c r="V93" t="str">
        <x:f>IF(J93="","",IF(O93&gt;=J93,"HOÀN THÀNH",IF(R93&gt;=S93,"ĐÚNG KẾ HOẠCH",IF(R93&gt;=S93*0.8,"NGUY CƠ CHẬM","KHÔNG ĐỦ NGUỒN"))))</x:f>
      </x:c>
      <x:c r="W93" s="22"/>
    </x:row>
    <x:row r="94">
      <x:c r="A94" s="22"/>
      <x:c r="B94" s="22"/>
      <x:c r="C94" s="22"/>
      <x:c r="D94" s="22"/>
      <x:c r="E94" s="22"/>
      <x:c r="F94" s="28"/>
      <x:c r="G94" s="28"/>
      <x:c r="H94" s="24"/>
      <x:c r="I94" s="24"/>
      <x:c r="J94" s="34" t="str">
        <x:f>IF(H94="","",H94*(1+I94)^MAX(0,YEARFRAC(F94,G94)))</x:f>
      </x:c>
      <x:c r="K94" s="34" t="n">
        <x:f>SUMIFS(Goal_Allocations!$F:$F,Goal_Allocations!$C:$C,A94,Goal_Allocations!$G:$G,"POSTED")</x:f>
        <x:v>0</x:v>
      </x:c>
      <x:c r="L94" s="24"/>
      <x:c r="M94" s="24"/>
      <x:c r="N94" s="24"/>
      <x:c r="O94" s="36" t="n">
        <x:f>K94+L94+M94+N94</x:f>
        <x:v>0</x:v>
      </x:c>
      <x:c r="P94" s="36" t="n">
        <x:f>MAX(0,J94-O94)</x:f>
        <x:v>0</x:v>
      </x:c>
      <x:c r="Q94" s="26"/>
      <x:c r="R94" s="24"/>
      <x:c r="S94" s="36" t="n">
        <x:f>IF(OR(G94="",P94&lt;=0),0,IF(Q94=0,P94/MAX(1,DATEDIF(TODAY(),G94,"m")),PMT(Q94/12,MAX(1,DATEDIF(TODAY(),G94,"m")),0,-P94)))</x:f>
        <x:v>0</x:v>
      </x:c>
      <x:c r="T94" s="30" t="str">
        <x:f>IF(R94&lt;=0,"",EDATE(TODAY(),ROUNDUP(P94/R94,0)))</x:f>
      </x:c>
      <x:c r="U94" s="42" t="n">
        <x:f>IFERROR(O94/J94,0)</x:f>
        <x:v>0</x:v>
      </x:c>
      <x:c r="V94" t="str">
        <x:f>IF(J94="","",IF(O94&gt;=J94,"HOÀN THÀNH",IF(R94&gt;=S94,"ĐÚNG KẾ HOẠCH",IF(R94&gt;=S94*0.8,"NGUY CƠ CHẬM","KHÔNG ĐỦ NGUỒN"))))</x:f>
      </x:c>
      <x:c r="W94" s="22"/>
    </x:row>
    <x:row r="95">
      <x:c r="A95" s="22"/>
      <x:c r="B95" s="22"/>
      <x:c r="C95" s="22"/>
      <x:c r="D95" s="22"/>
      <x:c r="E95" s="22"/>
      <x:c r="F95" s="28"/>
      <x:c r="G95" s="28"/>
      <x:c r="H95" s="24"/>
      <x:c r="I95" s="24"/>
      <x:c r="J95" s="34" t="str">
        <x:f>IF(H95="","",H95*(1+I95)^MAX(0,YEARFRAC(F95,G95)))</x:f>
      </x:c>
      <x:c r="K95" s="34" t="n">
        <x:f>SUMIFS(Goal_Allocations!$F:$F,Goal_Allocations!$C:$C,A95,Goal_Allocations!$G:$G,"POSTED")</x:f>
        <x:v>0</x:v>
      </x:c>
      <x:c r="L95" s="24"/>
      <x:c r="M95" s="24"/>
      <x:c r="N95" s="24"/>
      <x:c r="O95" s="36" t="n">
        <x:f>K95+L95+M95+N95</x:f>
        <x:v>0</x:v>
      </x:c>
      <x:c r="P95" s="36" t="n">
        <x:f>MAX(0,J95-O95)</x:f>
        <x:v>0</x:v>
      </x:c>
      <x:c r="Q95" s="26"/>
      <x:c r="R95" s="24"/>
      <x:c r="S95" s="36" t="n">
        <x:f>IF(OR(G95="",P95&lt;=0),0,IF(Q95=0,P95/MAX(1,DATEDIF(TODAY(),G95,"m")),PMT(Q95/12,MAX(1,DATEDIF(TODAY(),G95,"m")),0,-P95)))</x:f>
        <x:v>0</x:v>
      </x:c>
      <x:c r="T95" s="30" t="str">
        <x:f>IF(R95&lt;=0,"",EDATE(TODAY(),ROUNDUP(P95/R95,0)))</x:f>
      </x:c>
      <x:c r="U95" s="42" t="n">
        <x:f>IFERROR(O95/J95,0)</x:f>
        <x:v>0</x:v>
      </x:c>
      <x:c r="V95" t="str">
        <x:f>IF(J95="","",IF(O95&gt;=J95,"HOÀN THÀNH",IF(R95&gt;=S95,"ĐÚNG KẾ HOẠCH",IF(R95&gt;=S95*0.8,"NGUY CƠ CHẬM","KHÔNG ĐỦ NGUỒN"))))</x:f>
      </x:c>
      <x:c r="W95" s="22"/>
    </x:row>
    <x:row r="96">
      <x:c r="A96" s="22"/>
      <x:c r="B96" s="22"/>
      <x:c r="C96" s="22"/>
      <x:c r="D96" s="22"/>
      <x:c r="E96" s="22"/>
      <x:c r="F96" s="28"/>
      <x:c r="G96" s="28"/>
      <x:c r="H96" s="24"/>
      <x:c r="I96" s="24"/>
      <x:c r="J96" s="34" t="str">
        <x:f>IF(H96="","",H96*(1+I96)^MAX(0,YEARFRAC(F96,G96)))</x:f>
      </x:c>
      <x:c r="K96" s="34" t="n">
        <x:f>SUMIFS(Goal_Allocations!$F:$F,Goal_Allocations!$C:$C,A96,Goal_Allocations!$G:$G,"POSTED")</x:f>
        <x:v>0</x:v>
      </x:c>
      <x:c r="L96" s="24"/>
      <x:c r="M96" s="24"/>
      <x:c r="N96" s="24"/>
      <x:c r="O96" s="36" t="n">
        <x:f>K96+L96+M96+N96</x:f>
        <x:v>0</x:v>
      </x:c>
      <x:c r="P96" s="36" t="n">
        <x:f>MAX(0,J96-O96)</x:f>
        <x:v>0</x:v>
      </x:c>
      <x:c r="Q96" s="26"/>
      <x:c r="R96" s="24"/>
      <x:c r="S96" s="36" t="n">
        <x:f>IF(OR(G96="",P96&lt;=0),0,IF(Q96=0,P96/MAX(1,DATEDIF(TODAY(),G96,"m")),PMT(Q96/12,MAX(1,DATEDIF(TODAY(),G96,"m")),0,-P96)))</x:f>
        <x:v>0</x:v>
      </x:c>
      <x:c r="T96" s="30" t="str">
        <x:f>IF(R96&lt;=0,"",EDATE(TODAY(),ROUNDUP(P96/R96,0)))</x:f>
      </x:c>
      <x:c r="U96" s="42" t="n">
        <x:f>IFERROR(O96/J96,0)</x:f>
        <x:v>0</x:v>
      </x:c>
      <x:c r="V96" t="str">
        <x:f>IF(J96="","",IF(O96&gt;=J96,"HOÀN THÀNH",IF(R96&gt;=S96,"ĐÚNG KẾ HOẠCH",IF(R96&gt;=S96*0.8,"NGUY CƠ CHẬM","KHÔNG ĐỦ NGUỒN"))))</x:f>
      </x:c>
      <x:c r="W96" s="22"/>
    </x:row>
    <x:row r="97">
      <x:c r="A97" s="22"/>
      <x:c r="B97" s="22"/>
      <x:c r="C97" s="22"/>
      <x:c r="D97" s="22"/>
      <x:c r="E97" s="22"/>
      <x:c r="F97" s="28"/>
      <x:c r="G97" s="28"/>
      <x:c r="H97" s="24"/>
      <x:c r="I97" s="24"/>
      <x:c r="J97" s="34" t="str">
        <x:f>IF(H97="","",H97*(1+I97)^MAX(0,YEARFRAC(F97,G97)))</x:f>
      </x:c>
      <x:c r="K97" s="34" t="n">
        <x:f>SUMIFS(Goal_Allocations!$F:$F,Goal_Allocations!$C:$C,A97,Goal_Allocations!$G:$G,"POSTED")</x:f>
        <x:v>0</x:v>
      </x:c>
      <x:c r="L97" s="24"/>
      <x:c r="M97" s="24"/>
      <x:c r="N97" s="24"/>
      <x:c r="O97" s="36" t="n">
        <x:f>K97+L97+M97+N97</x:f>
        <x:v>0</x:v>
      </x:c>
      <x:c r="P97" s="36" t="n">
        <x:f>MAX(0,J97-O97)</x:f>
        <x:v>0</x:v>
      </x:c>
      <x:c r="Q97" s="26"/>
      <x:c r="R97" s="24"/>
      <x:c r="S97" s="36" t="n">
        <x:f>IF(OR(G97="",P97&lt;=0),0,IF(Q97=0,P97/MAX(1,DATEDIF(TODAY(),G97,"m")),PMT(Q97/12,MAX(1,DATEDIF(TODAY(),G97,"m")),0,-P97)))</x:f>
        <x:v>0</x:v>
      </x:c>
      <x:c r="T97" s="30" t="str">
        <x:f>IF(R97&lt;=0,"",EDATE(TODAY(),ROUNDUP(P97/R97,0)))</x:f>
      </x:c>
      <x:c r="U97" s="42" t="n">
        <x:f>IFERROR(O97/J97,0)</x:f>
        <x:v>0</x:v>
      </x:c>
      <x:c r="V97" t="str">
        <x:f>IF(J97="","",IF(O97&gt;=J97,"HOÀN THÀNH",IF(R97&gt;=S97,"ĐÚNG KẾ HOẠCH",IF(R97&gt;=S97*0.8,"NGUY CƠ CHẬM","KHÔNG ĐỦ NGUỒN"))))</x:f>
      </x:c>
      <x:c r="W97" s="22"/>
    </x:row>
    <x:row r="98">
      <x:c r="A98" s="22"/>
      <x:c r="B98" s="22"/>
      <x:c r="C98" s="22"/>
      <x:c r="D98" s="22"/>
      <x:c r="E98" s="22"/>
      <x:c r="F98" s="28"/>
      <x:c r="G98" s="28"/>
      <x:c r="H98" s="24"/>
      <x:c r="I98" s="24"/>
      <x:c r="J98" s="34" t="str">
        <x:f>IF(H98="","",H98*(1+I98)^MAX(0,YEARFRAC(F98,G98)))</x:f>
      </x:c>
      <x:c r="K98" s="34" t="n">
        <x:f>SUMIFS(Goal_Allocations!$F:$F,Goal_Allocations!$C:$C,A98,Goal_Allocations!$G:$G,"POSTED")</x:f>
        <x:v>0</x:v>
      </x:c>
      <x:c r="L98" s="24"/>
      <x:c r="M98" s="24"/>
      <x:c r="N98" s="24"/>
      <x:c r="O98" s="36" t="n">
        <x:f>K98+L98+M98+N98</x:f>
        <x:v>0</x:v>
      </x:c>
      <x:c r="P98" s="36" t="n">
        <x:f>MAX(0,J98-O98)</x:f>
        <x:v>0</x:v>
      </x:c>
      <x:c r="Q98" s="26"/>
      <x:c r="R98" s="24"/>
      <x:c r="S98" s="36" t="n">
        <x:f>IF(OR(G98="",P98&lt;=0),0,IF(Q98=0,P98/MAX(1,DATEDIF(TODAY(),G98,"m")),PMT(Q98/12,MAX(1,DATEDIF(TODAY(),G98,"m")),0,-P98)))</x:f>
        <x:v>0</x:v>
      </x:c>
      <x:c r="T98" s="30" t="str">
        <x:f>IF(R98&lt;=0,"",EDATE(TODAY(),ROUNDUP(P98/R98,0)))</x:f>
      </x:c>
      <x:c r="U98" s="42" t="n">
        <x:f>IFERROR(O98/J98,0)</x:f>
        <x:v>0</x:v>
      </x:c>
      <x:c r="V98" t="str">
        <x:f>IF(J98="","",IF(O98&gt;=J98,"HOÀN THÀNH",IF(R98&gt;=S98,"ĐÚNG KẾ HOẠCH",IF(R98&gt;=S98*0.8,"NGUY CƠ CHẬM","KHÔNG ĐỦ NGUỒN"))))</x:f>
      </x:c>
      <x:c r="W98" s="22"/>
    </x:row>
    <x:row r="99">
      <x:c r="A99" s="22"/>
      <x:c r="B99" s="22"/>
      <x:c r="C99" s="22"/>
      <x:c r="D99" s="22"/>
      <x:c r="E99" s="22"/>
      <x:c r="F99" s="28"/>
      <x:c r="G99" s="28"/>
      <x:c r="H99" s="24"/>
      <x:c r="I99" s="24"/>
      <x:c r="J99" s="34" t="str">
        <x:f>IF(H99="","",H99*(1+I99)^MAX(0,YEARFRAC(F99,G99)))</x:f>
      </x:c>
      <x:c r="K99" s="34" t="n">
        <x:f>SUMIFS(Goal_Allocations!$F:$F,Goal_Allocations!$C:$C,A99,Goal_Allocations!$G:$G,"POSTED")</x:f>
        <x:v>0</x:v>
      </x:c>
      <x:c r="L99" s="24"/>
      <x:c r="M99" s="24"/>
      <x:c r="N99" s="24"/>
      <x:c r="O99" s="36" t="n">
        <x:f>K99+L99+M99+N99</x:f>
        <x:v>0</x:v>
      </x:c>
      <x:c r="P99" s="36" t="n">
        <x:f>MAX(0,J99-O99)</x:f>
        <x:v>0</x:v>
      </x:c>
      <x:c r="Q99" s="26"/>
      <x:c r="R99" s="24"/>
      <x:c r="S99" s="36" t="n">
        <x:f>IF(OR(G99="",P99&lt;=0),0,IF(Q99=0,P99/MAX(1,DATEDIF(TODAY(),G99,"m")),PMT(Q99/12,MAX(1,DATEDIF(TODAY(),G99,"m")),0,-P99)))</x:f>
        <x:v>0</x:v>
      </x:c>
      <x:c r="T99" s="30" t="str">
        <x:f>IF(R99&lt;=0,"",EDATE(TODAY(),ROUNDUP(P99/R99,0)))</x:f>
      </x:c>
      <x:c r="U99" s="42" t="n">
        <x:f>IFERROR(O99/J99,0)</x:f>
        <x:v>0</x:v>
      </x:c>
      <x:c r="V99" t="str">
        <x:f>IF(J99="","",IF(O99&gt;=J99,"HOÀN THÀNH",IF(R99&gt;=S99,"ĐÚNG KẾ HOẠCH",IF(R99&gt;=S99*0.8,"NGUY CƠ CHẬM","KHÔNG ĐỦ NGUỒN"))))</x:f>
      </x:c>
      <x:c r="W99" s="22"/>
    </x:row>
    <x:row r="100">
      <x:c r="A100" s="22"/>
      <x:c r="B100" s="22"/>
      <x:c r="C100" s="22"/>
      <x:c r="D100" s="22"/>
      <x:c r="E100" s="22"/>
      <x:c r="F100" s="28"/>
      <x:c r="G100" s="28"/>
      <x:c r="H100" s="24"/>
      <x:c r="I100" s="24"/>
      <x:c r="J100" s="34" t="str">
        <x:f>IF(H100="","",H100*(1+I100)^MAX(0,YEARFRAC(F100,G100)))</x:f>
      </x:c>
      <x:c r="K100" s="34" t="n">
        <x:f>SUMIFS(Goal_Allocations!$F:$F,Goal_Allocations!$C:$C,A100,Goal_Allocations!$G:$G,"POSTED")</x:f>
        <x:v>0</x:v>
      </x:c>
      <x:c r="L100" s="24"/>
      <x:c r="M100" s="24"/>
      <x:c r="N100" s="24"/>
      <x:c r="O100" s="36" t="n">
        <x:f>K100+L100+M100+N100</x:f>
        <x:v>0</x:v>
      </x:c>
      <x:c r="P100" s="36" t="n">
        <x:f>MAX(0,J100-O100)</x:f>
        <x:v>0</x:v>
      </x:c>
      <x:c r="Q100" s="26"/>
      <x:c r="R100" s="24"/>
      <x:c r="S100" s="36" t="n">
        <x:f>IF(OR(G100="",P100&lt;=0),0,IF(Q100=0,P100/MAX(1,DATEDIF(TODAY(),G100,"m")),PMT(Q100/12,MAX(1,DATEDIF(TODAY(),G100,"m")),0,-P100)))</x:f>
        <x:v>0</x:v>
      </x:c>
      <x:c r="T100" s="30" t="str">
        <x:f>IF(R100&lt;=0,"",EDATE(TODAY(),ROUNDUP(P100/R100,0)))</x:f>
      </x:c>
      <x:c r="U100" s="42" t="n">
        <x:f>IFERROR(O100/J100,0)</x:f>
        <x:v>0</x:v>
      </x:c>
      <x:c r="V100" t="str">
        <x:f>IF(J100="","",IF(O100&gt;=J100,"HOÀN THÀNH",IF(R100&gt;=S100,"ĐÚNG KẾ HOẠCH",IF(R100&gt;=S100*0.8,"NGUY CƠ CHẬM","KHÔNG ĐỦ NGUỒN"))))</x:f>
      </x:c>
      <x:c r="W100" s="22"/>
    </x:row>
  </x:sheetData>
  <x:mergeCells>
    <x:mergeCell ref="A1:W1"/>
    <x:mergeCell ref="A2:W2"/>
  </x:mergeCells>
  <x:conditionalFormatting sqref="U5:U100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{9BE8DAD1-9816-B3F8-2959-6AA8CF0C8514}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BE8DAD1-9816-B3F8-2959-6AA8CF0C8514}">
            <x14:dataBar gradient="1">
              <x14:cfvo type="min"/>
              <x14:cfvo type="max"/>
              <x14:fillColor rgb="FF70AD47"/>
            </x14:dataBar>
          </x14:cfRule>
          <xm:sqref>U5:U100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2" hidden="0" customWidth="1"/>
    <x:col min="4" max="4" width="13" hidden="0" customWidth="1"/>
    <x:col min="5" max="5" width="14" hidden="0" customWidth="1"/>
    <x:col min="6" max="6" width="16" hidden="0" customWidth="1"/>
    <x:col min="7" max="7" width="12" hidden="0" customWidth="1"/>
    <x:col min="8" max="8" width="13" hidden="0" customWidth="1"/>
    <x:col min="9" max="9" width="16" hidden="0" customWidth="1"/>
    <x:col min="10" max="10" width="30" hidden="0" customWidth="1"/>
  </x:cols>
  <x:sheetData>
    <x:row r="1" ht="26" customHeight="1">
      <x:c r="A1" s="3" t="str">
        <x:v>PHÂN BỔ MỤC TIÊU</x:v>
      </x:c>
    </x:row>
    <x:row r="2" ht="28" customHeight="1">
      <x:c r="A2" s="8" t="str">
        <x:v>Một khoản có thể phân bổ cho nhiều mục tiêu; ứng dụng cần kiểm tra tổng phân bổ không vượt số dư.</x:v>
      </x:c>
    </x:row>
    <x:row r="4" ht="30" customHeight="1">
      <x:c r="A4" s="16" t="str">
        <x:v>Allocation_ID</x:v>
      </x:c>
      <x:c r="B4" s="16" t="str">
        <x:v>Ngày</x:v>
      </x:c>
      <x:c r="C4" s="16" t="str">
        <x:v>Goal_ID</x:v>
      </x:c>
      <x:c r="D4" s="16" t="str">
        <x:v>Account_ID</x:v>
      </x:c>
      <x:c r="E4" s="16" t="str">
        <x:v>Loại</x:v>
      </x:c>
      <x:c r="F4" s="16" t="str">
        <x:v>Số tiền VND</x:v>
      </x:c>
      <x:c r="G4" s="16" t="str">
        <x:v>Trạng thái</x:v>
      </x:c>
      <x:c r="H4" s="16" t="str">
        <x:v>Tỷ lệ chia</x:v>
      </x:c>
      <x:c r="I4" s="16" t="str">
        <x:v>Transaction_ID</x:v>
      </x:c>
      <x:c r="J4" s="16" t="str">
        <x:v>Ghi chú</x:v>
      </x:c>
    </x:row>
    <x:row r="5">
      <x:c r="A5" s="22"/>
      <x:c r="B5" s="28"/>
      <x:c r="C5" s="22"/>
      <x:c r="D5" s="22"/>
      <x:c r="E5" s="22"/>
      <x:c r="F5" s="24"/>
      <x:c r="G5" s="22"/>
      <x:c r="H5" s="26"/>
      <x:c r="I5" s="22"/>
      <x:c r="J5" s="22"/>
    </x:row>
    <x:row r="6">
      <x:c r="A6" s="22"/>
      <x:c r="B6" s="28"/>
      <x:c r="C6" s="22"/>
      <x:c r="D6" s="22"/>
      <x:c r="E6" s="22"/>
      <x:c r="F6" s="24"/>
      <x:c r="G6" s="22"/>
      <x:c r="H6" s="26"/>
      <x:c r="I6" s="22"/>
      <x:c r="J6" s="22"/>
    </x:row>
    <x:row r="7">
      <x:c r="A7" s="22"/>
      <x:c r="B7" s="28"/>
      <x:c r="C7" s="22"/>
      <x:c r="D7" s="22"/>
      <x:c r="E7" s="22"/>
      <x:c r="F7" s="24"/>
      <x:c r="G7" s="22"/>
      <x:c r="H7" s="26"/>
      <x:c r="I7" s="22"/>
      <x:c r="J7" s="22"/>
    </x:row>
    <x:row r="8">
      <x:c r="A8" s="22"/>
      <x:c r="B8" s="28"/>
      <x:c r="C8" s="22"/>
      <x:c r="D8" s="22"/>
      <x:c r="E8" s="22"/>
      <x:c r="F8" s="24"/>
      <x:c r="G8" s="22"/>
      <x:c r="H8" s="26"/>
      <x:c r="I8" s="22"/>
      <x:c r="J8" s="22"/>
    </x:row>
    <x:row r="9">
      <x:c r="A9" s="22"/>
      <x:c r="B9" s="28"/>
      <x:c r="C9" s="22"/>
      <x:c r="D9" s="22"/>
      <x:c r="E9" s="22"/>
      <x:c r="F9" s="24"/>
      <x:c r="G9" s="22"/>
      <x:c r="H9" s="26"/>
      <x:c r="I9" s="22"/>
      <x:c r="J9" s="22"/>
    </x:row>
    <x:row r="10">
      <x:c r="A10" s="22"/>
      <x:c r="B10" s="28"/>
      <x:c r="C10" s="22"/>
      <x:c r="D10" s="22"/>
      <x:c r="E10" s="22"/>
      <x:c r="F10" s="24"/>
      <x:c r="G10" s="22"/>
      <x:c r="H10" s="26"/>
      <x:c r="I10" s="22"/>
      <x:c r="J10" s="22"/>
    </x:row>
    <x:row r="11">
      <x:c r="A11" s="22"/>
      <x:c r="B11" s="28"/>
      <x:c r="C11" s="22"/>
      <x:c r="D11" s="22"/>
      <x:c r="E11" s="22"/>
      <x:c r="F11" s="24"/>
      <x:c r="G11" s="22"/>
      <x:c r="H11" s="26"/>
      <x:c r="I11" s="22"/>
      <x:c r="J11" s="22"/>
    </x:row>
    <x:row r="12">
      <x:c r="A12" s="22"/>
      <x:c r="B12" s="28"/>
      <x:c r="C12" s="22"/>
      <x:c r="D12" s="22"/>
      <x:c r="E12" s="22"/>
      <x:c r="F12" s="24"/>
      <x:c r="G12" s="22"/>
      <x:c r="H12" s="26"/>
      <x:c r="I12" s="22"/>
      <x:c r="J12" s="22"/>
    </x:row>
    <x:row r="13">
      <x:c r="A13" s="22"/>
      <x:c r="B13" s="28"/>
      <x:c r="C13" s="22"/>
      <x:c r="D13" s="22"/>
      <x:c r="E13" s="22"/>
      <x:c r="F13" s="24"/>
      <x:c r="G13" s="22"/>
      <x:c r="H13" s="26"/>
      <x:c r="I13" s="22"/>
      <x:c r="J13" s="22"/>
    </x:row>
    <x:row r="14">
      <x:c r="A14" s="22"/>
      <x:c r="B14" s="28"/>
      <x:c r="C14" s="22"/>
      <x:c r="D14" s="22"/>
      <x:c r="E14" s="22"/>
      <x:c r="F14" s="24"/>
      <x:c r="G14" s="22"/>
      <x:c r="H14" s="26"/>
      <x:c r="I14" s="22"/>
      <x:c r="J14" s="22"/>
    </x:row>
    <x:row r="15">
      <x:c r="A15" s="22"/>
      <x:c r="B15" s="28"/>
      <x:c r="C15" s="22"/>
      <x:c r="D15" s="22"/>
      <x:c r="E15" s="22"/>
      <x:c r="F15" s="24"/>
      <x:c r="G15" s="22"/>
      <x:c r="H15" s="26"/>
      <x:c r="I15" s="22"/>
      <x:c r="J15" s="22"/>
    </x:row>
    <x:row r="16">
      <x:c r="A16" s="22"/>
      <x:c r="B16" s="28"/>
      <x:c r="C16" s="22"/>
      <x:c r="D16" s="22"/>
      <x:c r="E16" s="22"/>
      <x:c r="F16" s="24"/>
      <x:c r="G16" s="22"/>
      <x:c r="H16" s="26"/>
      <x:c r="I16" s="22"/>
      <x:c r="J16" s="22"/>
    </x:row>
    <x:row r="17">
      <x:c r="A17" s="22"/>
      <x:c r="B17" s="28"/>
      <x:c r="C17" s="22"/>
      <x:c r="D17" s="22"/>
      <x:c r="E17" s="22"/>
      <x:c r="F17" s="24"/>
      <x:c r="G17" s="22"/>
      <x:c r="H17" s="26"/>
      <x:c r="I17" s="22"/>
      <x:c r="J17" s="22"/>
    </x:row>
    <x:row r="18">
      <x:c r="A18" s="22"/>
      <x:c r="B18" s="28"/>
      <x:c r="C18" s="22"/>
      <x:c r="D18" s="22"/>
      <x:c r="E18" s="22"/>
      <x:c r="F18" s="24"/>
      <x:c r="G18" s="22"/>
      <x:c r="H18" s="26"/>
      <x:c r="I18" s="22"/>
      <x:c r="J18" s="22"/>
    </x:row>
    <x:row r="19">
      <x:c r="A19" s="22"/>
      <x:c r="B19" s="28"/>
      <x:c r="C19" s="22"/>
      <x:c r="D19" s="22"/>
      <x:c r="E19" s="22"/>
      <x:c r="F19" s="24"/>
      <x:c r="G19" s="22"/>
      <x:c r="H19" s="26"/>
      <x:c r="I19" s="22"/>
      <x:c r="J19" s="22"/>
    </x:row>
    <x:row r="20">
      <x:c r="A20" s="22"/>
      <x:c r="B20" s="28"/>
      <x:c r="C20" s="22"/>
      <x:c r="D20" s="22"/>
      <x:c r="E20" s="22"/>
      <x:c r="F20" s="24"/>
      <x:c r="G20" s="22"/>
      <x:c r="H20" s="26"/>
      <x:c r="I20" s="22"/>
      <x:c r="J20" s="22"/>
    </x:row>
    <x:row r="21">
      <x:c r="A21" s="22"/>
      <x:c r="B21" s="28"/>
      <x:c r="C21" s="22"/>
      <x:c r="D21" s="22"/>
      <x:c r="E21" s="22"/>
      <x:c r="F21" s="24"/>
      <x:c r="G21" s="22"/>
      <x:c r="H21" s="26"/>
      <x:c r="I21" s="22"/>
      <x:c r="J21" s="22"/>
    </x:row>
    <x:row r="22">
      <x:c r="A22" s="22"/>
      <x:c r="B22" s="28"/>
      <x:c r="C22" s="22"/>
      <x:c r="D22" s="22"/>
      <x:c r="E22" s="22"/>
      <x:c r="F22" s="24"/>
      <x:c r="G22" s="22"/>
      <x:c r="H22" s="26"/>
      <x:c r="I22" s="22"/>
      <x:c r="J22" s="22"/>
    </x:row>
    <x:row r="23">
      <x:c r="A23" s="22"/>
      <x:c r="B23" s="28"/>
      <x:c r="C23" s="22"/>
      <x:c r="D23" s="22"/>
      <x:c r="E23" s="22"/>
      <x:c r="F23" s="24"/>
      <x:c r="G23" s="22"/>
      <x:c r="H23" s="26"/>
      <x:c r="I23" s="22"/>
      <x:c r="J23" s="22"/>
    </x:row>
    <x:row r="24">
      <x:c r="A24" s="22"/>
      <x:c r="B24" s="28"/>
      <x:c r="C24" s="22"/>
      <x:c r="D24" s="22"/>
      <x:c r="E24" s="22"/>
      <x:c r="F24" s="24"/>
      <x:c r="G24" s="22"/>
      <x:c r="H24" s="26"/>
      <x:c r="I24" s="22"/>
      <x:c r="J24" s="22"/>
    </x:row>
    <x:row r="25">
      <x:c r="A25" s="22"/>
      <x:c r="B25" s="28"/>
      <x:c r="C25" s="22"/>
      <x:c r="D25" s="22"/>
      <x:c r="E25" s="22"/>
      <x:c r="F25" s="24"/>
      <x:c r="G25" s="22"/>
      <x:c r="H25" s="26"/>
      <x:c r="I25" s="22"/>
      <x:c r="J25" s="22"/>
    </x:row>
    <x:row r="26">
      <x:c r="A26" s="22"/>
      <x:c r="B26" s="28"/>
      <x:c r="C26" s="22"/>
      <x:c r="D26" s="22"/>
      <x:c r="E26" s="22"/>
      <x:c r="F26" s="24"/>
      <x:c r="G26" s="22"/>
      <x:c r="H26" s="26"/>
      <x:c r="I26" s="22"/>
      <x:c r="J26" s="22"/>
    </x:row>
    <x:row r="27">
      <x:c r="A27" s="22"/>
      <x:c r="B27" s="28"/>
      <x:c r="C27" s="22"/>
      <x:c r="D27" s="22"/>
      <x:c r="E27" s="22"/>
      <x:c r="F27" s="24"/>
      <x:c r="G27" s="22"/>
      <x:c r="H27" s="26"/>
      <x:c r="I27" s="22"/>
      <x:c r="J27" s="22"/>
    </x:row>
    <x:row r="28">
      <x:c r="A28" s="22"/>
      <x:c r="B28" s="28"/>
      <x:c r="C28" s="22"/>
      <x:c r="D28" s="22"/>
      <x:c r="E28" s="22"/>
      <x:c r="F28" s="24"/>
      <x:c r="G28" s="22"/>
      <x:c r="H28" s="26"/>
      <x:c r="I28" s="22"/>
      <x:c r="J28" s="22"/>
    </x:row>
    <x:row r="29">
      <x:c r="A29" s="22"/>
      <x:c r="B29" s="28"/>
      <x:c r="C29" s="22"/>
      <x:c r="D29" s="22"/>
      <x:c r="E29" s="22"/>
      <x:c r="F29" s="24"/>
      <x:c r="G29" s="22"/>
      <x:c r="H29" s="26"/>
      <x:c r="I29" s="22"/>
      <x:c r="J29" s="22"/>
    </x:row>
    <x:row r="30">
      <x:c r="A30" s="22"/>
      <x:c r="B30" s="28"/>
      <x:c r="C30" s="22"/>
      <x:c r="D30" s="22"/>
      <x:c r="E30" s="22"/>
      <x:c r="F30" s="24"/>
      <x:c r="G30" s="22"/>
      <x:c r="H30" s="26"/>
      <x:c r="I30" s="22"/>
      <x:c r="J30" s="22"/>
    </x:row>
    <x:row r="31">
      <x:c r="A31" s="22"/>
      <x:c r="B31" s="28"/>
      <x:c r="C31" s="22"/>
      <x:c r="D31" s="22"/>
      <x:c r="E31" s="22"/>
      <x:c r="F31" s="24"/>
      <x:c r="G31" s="22"/>
      <x:c r="H31" s="26"/>
      <x:c r="I31" s="22"/>
      <x:c r="J31" s="22"/>
    </x:row>
    <x:row r="32">
      <x:c r="A32" s="22"/>
      <x:c r="B32" s="28"/>
      <x:c r="C32" s="22"/>
      <x:c r="D32" s="22"/>
      <x:c r="E32" s="22"/>
      <x:c r="F32" s="24"/>
      <x:c r="G32" s="22"/>
      <x:c r="H32" s="26"/>
      <x:c r="I32" s="22"/>
      <x:c r="J32" s="22"/>
    </x:row>
    <x:row r="33">
      <x:c r="A33" s="22"/>
      <x:c r="B33" s="28"/>
      <x:c r="C33" s="22"/>
      <x:c r="D33" s="22"/>
      <x:c r="E33" s="22"/>
      <x:c r="F33" s="24"/>
      <x:c r="G33" s="22"/>
      <x:c r="H33" s="26"/>
      <x:c r="I33" s="22"/>
      <x:c r="J33" s="22"/>
    </x:row>
    <x:row r="34">
      <x:c r="A34" s="22"/>
      <x:c r="B34" s="28"/>
      <x:c r="C34" s="22"/>
      <x:c r="D34" s="22"/>
      <x:c r="E34" s="22"/>
      <x:c r="F34" s="24"/>
      <x:c r="G34" s="22"/>
      <x:c r="H34" s="26"/>
      <x:c r="I34" s="22"/>
      <x:c r="J34" s="22"/>
    </x:row>
    <x:row r="35">
      <x:c r="A35" s="22"/>
      <x:c r="B35" s="28"/>
      <x:c r="C35" s="22"/>
      <x:c r="D35" s="22"/>
      <x:c r="E35" s="22"/>
      <x:c r="F35" s="24"/>
      <x:c r="G35" s="22"/>
      <x:c r="H35" s="26"/>
      <x:c r="I35" s="22"/>
      <x:c r="J35" s="22"/>
    </x:row>
    <x:row r="36">
      <x:c r="A36" s="22"/>
      <x:c r="B36" s="28"/>
      <x:c r="C36" s="22"/>
      <x:c r="D36" s="22"/>
      <x:c r="E36" s="22"/>
      <x:c r="F36" s="24"/>
      <x:c r="G36" s="22"/>
      <x:c r="H36" s="26"/>
      <x:c r="I36" s="22"/>
      <x:c r="J36" s="22"/>
    </x:row>
    <x:row r="37">
      <x:c r="A37" s="22"/>
      <x:c r="B37" s="28"/>
      <x:c r="C37" s="22"/>
      <x:c r="D37" s="22"/>
      <x:c r="E37" s="22"/>
      <x:c r="F37" s="24"/>
      <x:c r="G37" s="22"/>
      <x:c r="H37" s="26"/>
      <x:c r="I37" s="22"/>
      <x:c r="J37" s="22"/>
    </x:row>
    <x:row r="38">
      <x:c r="A38" s="22"/>
      <x:c r="B38" s="28"/>
      <x:c r="C38" s="22"/>
      <x:c r="D38" s="22"/>
      <x:c r="E38" s="22"/>
      <x:c r="F38" s="24"/>
      <x:c r="G38" s="22"/>
      <x:c r="H38" s="26"/>
      <x:c r="I38" s="22"/>
      <x:c r="J38" s="22"/>
    </x:row>
    <x:row r="39">
      <x:c r="A39" s="22"/>
      <x:c r="B39" s="28"/>
      <x:c r="C39" s="22"/>
      <x:c r="D39" s="22"/>
      <x:c r="E39" s="22"/>
      <x:c r="F39" s="24"/>
      <x:c r="G39" s="22"/>
      <x:c r="H39" s="26"/>
      <x:c r="I39" s="22"/>
      <x:c r="J39" s="22"/>
    </x:row>
    <x:row r="40">
      <x:c r="A40" s="22"/>
      <x:c r="B40" s="28"/>
      <x:c r="C40" s="22"/>
      <x:c r="D40" s="22"/>
      <x:c r="E40" s="22"/>
      <x:c r="F40" s="24"/>
      <x:c r="G40" s="22"/>
      <x:c r="H40" s="26"/>
      <x:c r="I40" s="22"/>
      <x:c r="J40" s="22"/>
    </x:row>
    <x:row r="41">
      <x:c r="A41" s="22"/>
      <x:c r="B41" s="28"/>
      <x:c r="C41" s="22"/>
      <x:c r="D41" s="22"/>
      <x:c r="E41" s="22"/>
      <x:c r="F41" s="24"/>
      <x:c r="G41" s="22"/>
      <x:c r="H41" s="26"/>
      <x:c r="I41" s="22"/>
      <x:c r="J41" s="22"/>
    </x:row>
    <x:row r="42">
      <x:c r="A42" s="22"/>
      <x:c r="B42" s="28"/>
      <x:c r="C42" s="22"/>
      <x:c r="D42" s="22"/>
      <x:c r="E42" s="22"/>
      <x:c r="F42" s="24"/>
      <x:c r="G42" s="22"/>
      <x:c r="H42" s="26"/>
      <x:c r="I42" s="22"/>
      <x:c r="J42" s="22"/>
    </x:row>
    <x:row r="43">
      <x:c r="A43" s="22"/>
      <x:c r="B43" s="28"/>
      <x:c r="C43" s="22"/>
      <x:c r="D43" s="22"/>
      <x:c r="E43" s="22"/>
      <x:c r="F43" s="24"/>
      <x:c r="G43" s="22"/>
      <x:c r="H43" s="26"/>
      <x:c r="I43" s="22"/>
      <x:c r="J43" s="22"/>
    </x:row>
    <x:row r="44">
      <x:c r="A44" s="22"/>
      <x:c r="B44" s="28"/>
      <x:c r="C44" s="22"/>
      <x:c r="D44" s="22"/>
      <x:c r="E44" s="22"/>
      <x:c r="F44" s="24"/>
      <x:c r="G44" s="22"/>
      <x:c r="H44" s="26"/>
      <x:c r="I44" s="22"/>
      <x:c r="J44" s="22"/>
    </x:row>
    <x:row r="45">
      <x:c r="A45" s="22"/>
      <x:c r="B45" s="28"/>
      <x:c r="C45" s="22"/>
      <x:c r="D45" s="22"/>
      <x:c r="E45" s="22"/>
      <x:c r="F45" s="24"/>
      <x:c r="G45" s="22"/>
      <x:c r="H45" s="26"/>
      <x:c r="I45" s="22"/>
      <x:c r="J45" s="22"/>
    </x:row>
    <x:row r="46">
      <x:c r="A46" s="22"/>
      <x:c r="B46" s="28"/>
      <x:c r="C46" s="22"/>
      <x:c r="D46" s="22"/>
      <x:c r="E46" s="22"/>
      <x:c r="F46" s="24"/>
      <x:c r="G46" s="22"/>
      <x:c r="H46" s="26"/>
      <x:c r="I46" s="22"/>
      <x:c r="J46" s="22"/>
    </x:row>
    <x:row r="47">
      <x:c r="A47" s="22"/>
      <x:c r="B47" s="28"/>
      <x:c r="C47" s="22"/>
      <x:c r="D47" s="22"/>
      <x:c r="E47" s="22"/>
      <x:c r="F47" s="24"/>
      <x:c r="G47" s="22"/>
      <x:c r="H47" s="26"/>
      <x:c r="I47" s="22"/>
      <x:c r="J47" s="22"/>
    </x:row>
    <x:row r="48">
      <x:c r="A48" s="22"/>
      <x:c r="B48" s="28"/>
      <x:c r="C48" s="22"/>
      <x:c r="D48" s="22"/>
      <x:c r="E48" s="22"/>
      <x:c r="F48" s="24"/>
      <x:c r="G48" s="22"/>
      <x:c r="H48" s="26"/>
      <x:c r="I48" s="22"/>
      <x:c r="J48" s="22"/>
    </x:row>
    <x:row r="49">
      <x:c r="A49" s="22"/>
      <x:c r="B49" s="28"/>
      <x:c r="C49" s="22"/>
      <x:c r="D49" s="22"/>
      <x:c r="E49" s="22"/>
      <x:c r="F49" s="24"/>
      <x:c r="G49" s="22"/>
      <x:c r="H49" s="26"/>
      <x:c r="I49" s="22"/>
      <x:c r="J49" s="22"/>
    </x:row>
    <x:row r="50">
      <x:c r="A50" s="22"/>
      <x:c r="B50" s="28"/>
      <x:c r="C50" s="22"/>
      <x:c r="D50" s="22"/>
      <x:c r="E50" s="22"/>
      <x:c r="F50" s="24"/>
      <x:c r="G50" s="22"/>
      <x:c r="H50" s="26"/>
      <x:c r="I50" s="22"/>
      <x:c r="J50" s="22"/>
    </x:row>
    <x:row r="51">
      <x:c r="A51" s="22"/>
      <x:c r="B51" s="28"/>
      <x:c r="C51" s="22"/>
      <x:c r="D51" s="22"/>
      <x:c r="E51" s="22"/>
      <x:c r="F51" s="24"/>
      <x:c r="G51" s="22"/>
      <x:c r="H51" s="26"/>
      <x:c r="I51" s="22"/>
      <x:c r="J51" s="22"/>
    </x:row>
    <x:row r="52">
      <x:c r="A52" s="22"/>
      <x:c r="B52" s="28"/>
      <x:c r="C52" s="22"/>
      <x:c r="D52" s="22"/>
      <x:c r="E52" s="22"/>
      <x:c r="F52" s="24"/>
      <x:c r="G52" s="22"/>
      <x:c r="H52" s="26"/>
      <x:c r="I52" s="22"/>
      <x:c r="J52" s="22"/>
    </x:row>
    <x:row r="53">
      <x:c r="A53" s="22"/>
      <x:c r="B53" s="28"/>
      <x:c r="C53" s="22"/>
      <x:c r="D53" s="22"/>
      <x:c r="E53" s="22"/>
      <x:c r="F53" s="24"/>
      <x:c r="G53" s="22"/>
      <x:c r="H53" s="26"/>
      <x:c r="I53" s="22"/>
      <x:c r="J53" s="22"/>
    </x:row>
    <x:row r="54">
      <x:c r="A54" s="22"/>
      <x:c r="B54" s="28"/>
      <x:c r="C54" s="22"/>
      <x:c r="D54" s="22"/>
      <x:c r="E54" s="22"/>
      <x:c r="F54" s="24"/>
      <x:c r="G54" s="22"/>
      <x:c r="H54" s="26"/>
      <x:c r="I54" s="22"/>
      <x:c r="J54" s="22"/>
    </x:row>
    <x:row r="55">
      <x:c r="A55" s="22"/>
      <x:c r="B55" s="28"/>
      <x:c r="C55" s="22"/>
      <x:c r="D55" s="22"/>
      <x:c r="E55" s="22"/>
      <x:c r="F55" s="24"/>
      <x:c r="G55" s="22"/>
      <x:c r="H55" s="26"/>
      <x:c r="I55" s="22"/>
      <x:c r="J55" s="22"/>
    </x:row>
    <x:row r="56">
      <x:c r="A56" s="22"/>
      <x:c r="B56" s="28"/>
      <x:c r="C56" s="22"/>
      <x:c r="D56" s="22"/>
      <x:c r="E56" s="22"/>
      <x:c r="F56" s="24"/>
      <x:c r="G56" s="22"/>
      <x:c r="H56" s="26"/>
      <x:c r="I56" s="22"/>
      <x:c r="J56" s="22"/>
    </x:row>
    <x:row r="57">
      <x:c r="A57" s="22"/>
      <x:c r="B57" s="28"/>
      <x:c r="C57" s="22"/>
      <x:c r="D57" s="22"/>
      <x:c r="E57" s="22"/>
      <x:c r="F57" s="24"/>
      <x:c r="G57" s="22"/>
      <x:c r="H57" s="26"/>
      <x:c r="I57" s="22"/>
      <x:c r="J57" s="22"/>
    </x:row>
    <x:row r="58">
      <x:c r="A58" s="22"/>
      <x:c r="B58" s="28"/>
      <x:c r="C58" s="22"/>
      <x:c r="D58" s="22"/>
      <x:c r="E58" s="22"/>
      <x:c r="F58" s="24"/>
      <x:c r="G58" s="22"/>
      <x:c r="H58" s="26"/>
      <x:c r="I58" s="22"/>
      <x:c r="J58" s="22"/>
    </x:row>
    <x:row r="59">
      <x:c r="A59" s="22"/>
      <x:c r="B59" s="28"/>
      <x:c r="C59" s="22"/>
      <x:c r="D59" s="22"/>
      <x:c r="E59" s="22"/>
      <x:c r="F59" s="24"/>
      <x:c r="G59" s="22"/>
      <x:c r="H59" s="26"/>
      <x:c r="I59" s="22"/>
      <x:c r="J59" s="22"/>
    </x:row>
    <x:row r="60">
      <x:c r="A60" s="22"/>
      <x:c r="B60" s="28"/>
      <x:c r="C60" s="22"/>
      <x:c r="D60" s="22"/>
      <x:c r="E60" s="22"/>
      <x:c r="F60" s="24"/>
      <x:c r="G60" s="22"/>
      <x:c r="H60" s="26"/>
      <x:c r="I60" s="22"/>
      <x:c r="J60" s="22"/>
    </x:row>
    <x:row r="61">
      <x:c r="A61" s="22"/>
      <x:c r="B61" s="28"/>
      <x:c r="C61" s="22"/>
      <x:c r="D61" s="22"/>
      <x:c r="E61" s="22"/>
      <x:c r="F61" s="24"/>
      <x:c r="G61" s="22"/>
      <x:c r="H61" s="26"/>
      <x:c r="I61" s="22"/>
      <x:c r="J61" s="22"/>
    </x:row>
    <x:row r="62">
      <x:c r="A62" s="22"/>
      <x:c r="B62" s="28"/>
      <x:c r="C62" s="22"/>
      <x:c r="D62" s="22"/>
      <x:c r="E62" s="22"/>
      <x:c r="F62" s="24"/>
      <x:c r="G62" s="22"/>
      <x:c r="H62" s="26"/>
      <x:c r="I62" s="22"/>
      <x:c r="J62" s="22"/>
    </x:row>
    <x:row r="63">
      <x:c r="A63" s="22"/>
      <x:c r="B63" s="28"/>
      <x:c r="C63" s="22"/>
      <x:c r="D63" s="22"/>
      <x:c r="E63" s="22"/>
      <x:c r="F63" s="24"/>
      <x:c r="G63" s="22"/>
      <x:c r="H63" s="26"/>
      <x:c r="I63" s="22"/>
      <x:c r="J63" s="22"/>
    </x:row>
    <x:row r="64">
      <x:c r="A64" s="22"/>
      <x:c r="B64" s="28"/>
      <x:c r="C64" s="22"/>
      <x:c r="D64" s="22"/>
      <x:c r="E64" s="22"/>
      <x:c r="F64" s="24"/>
      <x:c r="G64" s="22"/>
      <x:c r="H64" s="26"/>
      <x:c r="I64" s="22"/>
      <x:c r="J64" s="22"/>
    </x:row>
    <x:row r="65">
      <x:c r="A65" s="22"/>
      <x:c r="B65" s="28"/>
      <x:c r="C65" s="22"/>
      <x:c r="D65" s="22"/>
      <x:c r="E65" s="22"/>
      <x:c r="F65" s="24"/>
      <x:c r="G65" s="22"/>
      <x:c r="H65" s="26"/>
      <x:c r="I65" s="22"/>
      <x:c r="J65" s="22"/>
    </x:row>
    <x:row r="66">
      <x:c r="A66" s="22"/>
      <x:c r="B66" s="28"/>
      <x:c r="C66" s="22"/>
      <x:c r="D66" s="22"/>
      <x:c r="E66" s="22"/>
      <x:c r="F66" s="24"/>
      <x:c r="G66" s="22"/>
      <x:c r="H66" s="26"/>
      <x:c r="I66" s="22"/>
      <x:c r="J66" s="22"/>
    </x:row>
    <x:row r="67">
      <x:c r="A67" s="22"/>
      <x:c r="B67" s="28"/>
      <x:c r="C67" s="22"/>
      <x:c r="D67" s="22"/>
      <x:c r="E67" s="22"/>
      <x:c r="F67" s="24"/>
      <x:c r="G67" s="22"/>
      <x:c r="H67" s="26"/>
      <x:c r="I67" s="22"/>
      <x:c r="J67" s="22"/>
    </x:row>
    <x:row r="68">
      <x:c r="A68" s="22"/>
      <x:c r="B68" s="28"/>
      <x:c r="C68" s="22"/>
      <x:c r="D68" s="22"/>
      <x:c r="E68" s="22"/>
      <x:c r="F68" s="24"/>
      <x:c r="G68" s="22"/>
      <x:c r="H68" s="26"/>
      <x:c r="I68" s="22"/>
      <x:c r="J68" s="22"/>
    </x:row>
    <x:row r="69">
      <x:c r="A69" s="22"/>
      <x:c r="B69" s="28"/>
      <x:c r="C69" s="22"/>
      <x:c r="D69" s="22"/>
      <x:c r="E69" s="22"/>
      <x:c r="F69" s="24"/>
      <x:c r="G69" s="22"/>
      <x:c r="H69" s="26"/>
      <x:c r="I69" s="22"/>
      <x:c r="J69" s="22"/>
    </x:row>
    <x:row r="70">
      <x:c r="A70" s="22"/>
      <x:c r="B70" s="28"/>
      <x:c r="C70" s="22"/>
      <x:c r="D70" s="22"/>
      <x:c r="E70" s="22"/>
      <x:c r="F70" s="24"/>
      <x:c r="G70" s="22"/>
      <x:c r="H70" s="26"/>
      <x:c r="I70" s="22"/>
      <x:c r="J70" s="22"/>
    </x:row>
    <x:row r="71">
      <x:c r="A71" s="22"/>
      <x:c r="B71" s="28"/>
      <x:c r="C71" s="22"/>
      <x:c r="D71" s="22"/>
      <x:c r="E71" s="22"/>
      <x:c r="F71" s="24"/>
      <x:c r="G71" s="22"/>
      <x:c r="H71" s="26"/>
      <x:c r="I71" s="22"/>
      <x:c r="J71" s="22"/>
    </x:row>
    <x:row r="72">
      <x:c r="A72" s="22"/>
      <x:c r="B72" s="28"/>
      <x:c r="C72" s="22"/>
      <x:c r="D72" s="22"/>
      <x:c r="E72" s="22"/>
      <x:c r="F72" s="24"/>
      <x:c r="G72" s="22"/>
      <x:c r="H72" s="26"/>
      <x:c r="I72" s="22"/>
      <x:c r="J72" s="22"/>
    </x:row>
    <x:row r="73">
      <x:c r="A73" s="22"/>
      <x:c r="B73" s="28"/>
      <x:c r="C73" s="22"/>
      <x:c r="D73" s="22"/>
      <x:c r="E73" s="22"/>
      <x:c r="F73" s="24"/>
      <x:c r="G73" s="22"/>
      <x:c r="H73" s="26"/>
      <x:c r="I73" s="22"/>
      <x:c r="J73" s="22"/>
    </x:row>
    <x:row r="74">
      <x:c r="A74" s="22"/>
      <x:c r="B74" s="28"/>
      <x:c r="C74" s="22"/>
      <x:c r="D74" s="22"/>
      <x:c r="E74" s="22"/>
      <x:c r="F74" s="24"/>
      <x:c r="G74" s="22"/>
      <x:c r="H74" s="26"/>
      <x:c r="I74" s="22"/>
      <x:c r="J74" s="22"/>
    </x:row>
    <x:row r="75">
      <x:c r="A75" s="22"/>
      <x:c r="B75" s="28"/>
      <x:c r="C75" s="22"/>
      <x:c r="D75" s="22"/>
      <x:c r="E75" s="22"/>
      <x:c r="F75" s="24"/>
      <x:c r="G75" s="22"/>
      <x:c r="H75" s="26"/>
      <x:c r="I75" s="22"/>
      <x:c r="J75" s="22"/>
    </x:row>
    <x:row r="76">
      <x:c r="A76" s="22"/>
      <x:c r="B76" s="28"/>
      <x:c r="C76" s="22"/>
      <x:c r="D76" s="22"/>
      <x:c r="E76" s="22"/>
      <x:c r="F76" s="24"/>
      <x:c r="G76" s="22"/>
      <x:c r="H76" s="26"/>
      <x:c r="I76" s="22"/>
      <x:c r="J76" s="22"/>
    </x:row>
    <x:row r="77">
      <x:c r="A77" s="22"/>
      <x:c r="B77" s="28"/>
      <x:c r="C77" s="22"/>
      <x:c r="D77" s="22"/>
      <x:c r="E77" s="22"/>
      <x:c r="F77" s="24"/>
      <x:c r="G77" s="22"/>
      <x:c r="H77" s="26"/>
      <x:c r="I77" s="22"/>
      <x:c r="J77" s="22"/>
    </x:row>
    <x:row r="78">
      <x:c r="A78" s="22"/>
      <x:c r="B78" s="28"/>
      <x:c r="C78" s="22"/>
      <x:c r="D78" s="22"/>
      <x:c r="E78" s="22"/>
      <x:c r="F78" s="24"/>
      <x:c r="G78" s="22"/>
      <x:c r="H78" s="26"/>
      <x:c r="I78" s="22"/>
      <x:c r="J78" s="22"/>
    </x:row>
    <x:row r="79">
      <x:c r="A79" s="22"/>
      <x:c r="B79" s="28"/>
      <x:c r="C79" s="22"/>
      <x:c r="D79" s="22"/>
      <x:c r="E79" s="22"/>
      <x:c r="F79" s="24"/>
      <x:c r="G79" s="22"/>
      <x:c r="H79" s="26"/>
      <x:c r="I79" s="22"/>
      <x:c r="J79" s="22"/>
    </x:row>
    <x:row r="80">
      <x:c r="A80" s="22"/>
      <x:c r="B80" s="28"/>
      <x:c r="C80" s="22"/>
      <x:c r="D80" s="22"/>
      <x:c r="E80" s="22"/>
      <x:c r="F80" s="24"/>
      <x:c r="G80" s="22"/>
      <x:c r="H80" s="26"/>
      <x:c r="I80" s="22"/>
      <x:c r="J80" s="22"/>
    </x:row>
    <x:row r="81">
      <x:c r="A81" s="22"/>
      <x:c r="B81" s="28"/>
      <x:c r="C81" s="22"/>
      <x:c r="D81" s="22"/>
      <x:c r="E81" s="22"/>
      <x:c r="F81" s="24"/>
      <x:c r="G81" s="22"/>
      <x:c r="H81" s="26"/>
      <x:c r="I81" s="22"/>
      <x:c r="J81" s="22"/>
    </x:row>
    <x:row r="82">
      <x:c r="A82" s="22"/>
      <x:c r="B82" s="28"/>
      <x:c r="C82" s="22"/>
      <x:c r="D82" s="22"/>
      <x:c r="E82" s="22"/>
      <x:c r="F82" s="24"/>
      <x:c r="G82" s="22"/>
      <x:c r="H82" s="26"/>
      <x:c r="I82" s="22"/>
      <x:c r="J82" s="22"/>
    </x:row>
    <x:row r="83">
      <x:c r="A83" s="22"/>
      <x:c r="B83" s="28"/>
      <x:c r="C83" s="22"/>
      <x:c r="D83" s="22"/>
      <x:c r="E83" s="22"/>
      <x:c r="F83" s="24"/>
      <x:c r="G83" s="22"/>
      <x:c r="H83" s="26"/>
      <x:c r="I83" s="22"/>
      <x:c r="J83" s="22"/>
    </x:row>
    <x:row r="84">
      <x:c r="A84" s="22"/>
      <x:c r="B84" s="28"/>
      <x:c r="C84" s="22"/>
      <x:c r="D84" s="22"/>
      <x:c r="E84" s="22"/>
      <x:c r="F84" s="24"/>
      <x:c r="G84" s="22"/>
      <x:c r="H84" s="26"/>
      <x:c r="I84" s="22"/>
      <x:c r="J84" s="22"/>
    </x:row>
    <x:row r="85">
      <x:c r="A85" s="22"/>
      <x:c r="B85" s="28"/>
      <x:c r="C85" s="22"/>
      <x:c r="D85" s="22"/>
      <x:c r="E85" s="22"/>
      <x:c r="F85" s="24"/>
      <x:c r="G85" s="22"/>
      <x:c r="H85" s="26"/>
      <x:c r="I85" s="22"/>
      <x:c r="J85" s="22"/>
    </x:row>
    <x:row r="86">
      <x:c r="A86" s="22"/>
      <x:c r="B86" s="28"/>
      <x:c r="C86" s="22"/>
      <x:c r="D86" s="22"/>
      <x:c r="E86" s="22"/>
      <x:c r="F86" s="24"/>
      <x:c r="G86" s="22"/>
      <x:c r="H86" s="26"/>
      <x:c r="I86" s="22"/>
      <x:c r="J86" s="22"/>
    </x:row>
    <x:row r="87">
      <x:c r="A87" s="22"/>
      <x:c r="B87" s="28"/>
      <x:c r="C87" s="22"/>
      <x:c r="D87" s="22"/>
      <x:c r="E87" s="22"/>
      <x:c r="F87" s="24"/>
      <x:c r="G87" s="22"/>
      <x:c r="H87" s="26"/>
      <x:c r="I87" s="22"/>
      <x:c r="J87" s="22"/>
    </x:row>
    <x:row r="88">
      <x:c r="A88" s="22"/>
      <x:c r="B88" s="28"/>
      <x:c r="C88" s="22"/>
      <x:c r="D88" s="22"/>
      <x:c r="E88" s="22"/>
      <x:c r="F88" s="24"/>
      <x:c r="G88" s="22"/>
      <x:c r="H88" s="26"/>
      <x:c r="I88" s="22"/>
      <x:c r="J88" s="22"/>
    </x:row>
    <x:row r="89">
      <x:c r="A89" s="22"/>
      <x:c r="B89" s="28"/>
      <x:c r="C89" s="22"/>
      <x:c r="D89" s="22"/>
      <x:c r="E89" s="22"/>
      <x:c r="F89" s="24"/>
      <x:c r="G89" s="22"/>
      <x:c r="H89" s="26"/>
      <x:c r="I89" s="22"/>
      <x:c r="J89" s="22"/>
    </x:row>
    <x:row r="90">
      <x:c r="A90" s="22"/>
      <x:c r="B90" s="28"/>
      <x:c r="C90" s="22"/>
      <x:c r="D90" s="22"/>
      <x:c r="E90" s="22"/>
      <x:c r="F90" s="24"/>
      <x:c r="G90" s="22"/>
      <x:c r="H90" s="26"/>
      <x:c r="I90" s="22"/>
      <x:c r="J90" s="22"/>
    </x:row>
    <x:row r="91">
      <x:c r="A91" s="22"/>
      <x:c r="B91" s="28"/>
      <x:c r="C91" s="22"/>
      <x:c r="D91" s="22"/>
      <x:c r="E91" s="22"/>
      <x:c r="F91" s="24"/>
      <x:c r="G91" s="22"/>
      <x:c r="H91" s="26"/>
      <x:c r="I91" s="22"/>
      <x:c r="J91" s="22"/>
    </x:row>
    <x:row r="92">
      <x:c r="A92" s="22"/>
      <x:c r="B92" s="28"/>
      <x:c r="C92" s="22"/>
      <x:c r="D92" s="22"/>
      <x:c r="E92" s="22"/>
      <x:c r="F92" s="24"/>
      <x:c r="G92" s="22"/>
      <x:c r="H92" s="26"/>
      <x:c r="I92" s="22"/>
      <x:c r="J92" s="22"/>
    </x:row>
    <x:row r="93">
      <x:c r="A93" s="22"/>
      <x:c r="B93" s="28"/>
      <x:c r="C93" s="22"/>
      <x:c r="D93" s="22"/>
      <x:c r="E93" s="22"/>
      <x:c r="F93" s="24"/>
      <x:c r="G93" s="22"/>
      <x:c r="H93" s="26"/>
      <x:c r="I93" s="22"/>
      <x:c r="J93" s="22"/>
    </x:row>
    <x:row r="94">
      <x:c r="A94" s="22"/>
      <x:c r="B94" s="28"/>
      <x:c r="C94" s="22"/>
      <x:c r="D94" s="22"/>
      <x:c r="E94" s="22"/>
      <x:c r="F94" s="24"/>
      <x:c r="G94" s="22"/>
      <x:c r="H94" s="26"/>
      <x:c r="I94" s="22"/>
      <x:c r="J94" s="22"/>
    </x:row>
    <x:row r="95">
      <x:c r="A95" s="22"/>
      <x:c r="B95" s="28"/>
      <x:c r="C95" s="22"/>
      <x:c r="D95" s="22"/>
      <x:c r="E95" s="22"/>
      <x:c r="F95" s="24"/>
      <x:c r="G95" s="22"/>
      <x:c r="H95" s="26"/>
      <x:c r="I95" s="22"/>
      <x:c r="J95" s="22"/>
    </x:row>
    <x:row r="96">
      <x:c r="A96" s="22"/>
      <x:c r="B96" s="28"/>
      <x:c r="C96" s="22"/>
      <x:c r="D96" s="22"/>
      <x:c r="E96" s="22"/>
      <x:c r="F96" s="24"/>
      <x:c r="G96" s="22"/>
      <x:c r="H96" s="26"/>
      <x:c r="I96" s="22"/>
      <x:c r="J96" s="22"/>
    </x:row>
    <x:row r="97">
      <x:c r="A97" s="22"/>
      <x:c r="B97" s="28"/>
      <x:c r="C97" s="22"/>
      <x:c r="D97" s="22"/>
      <x:c r="E97" s="22"/>
      <x:c r="F97" s="24"/>
      <x:c r="G97" s="22"/>
      <x:c r="H97" s="26"/>
      <x:c r="I97" s="22"/>
      <x:c r="J97" s="22"/>
    </x:row>
    <x:row r="98">
      <x:c r="A98" s="22"/>
      <x:c r="B98" s="28"/>
      <x:c r="C98" s="22"/>
      <x:c r="D98" s="22"/>
      <x:c r="E98" s="22"/>
      <x:c r="F98" s="24"/>
      <x:c r="G98" s="22"/>
      <x:c r="H98" s="26"/>
      <x:c r="I98" s="22"/>
      <x:c r="J98" s="22"/>
    </x:row>
    <x:row r="99">
      <x:c r="A99" s="22"/>
      <x:c r="B99" s="28"/>
      <x:c r="C99" s="22"/>
      <x:c r="D99" s="22"/>
      <x:c r="E99" s="22"/>
      <x:c r="F99" s="24"/>
      <x:c r="G99" s="22"/>
      <x:c r="H99" s="26"/>
      <x:c r="I99" s="22"/>
      <x:c r="J99" s="22"/>
    </x:row>
    <x:row r="100">
      <x:c r="A100" s="22"/>
      <x:c r="B100" s="28"/>
      <x:c r="C100" s="22"/>
      <x:c r="D100" s="22"/>
      <x:c r="E100" s="22"/>
      <x:c r="F100" s="24"/>
      <x:c r="G100" s="22"/>
      <x:c r="H100" s="26"/>
      <x:c r="I100" s="22"/>
      <x:c r="J100" s="22"/>
    </x:row>
    <x:row r="101">
      <x:c r="A101" s="22"/>
      <x:c r="B101" s="28"/>
      <x:c r="C101" s="22"/>
      <x:c r="D101" s="22"/>
      <x:c r="E101" s="22"/>
      <x:c r="F101" s="24"/>
      <x:c r="G101" s="22"/>
      <x:c r="H101" s="26"/>
      <x:c r="I101" s="22"/>
      <x:c r="J101" s="22"/>
    </x:row>
    <x:row r="102">
      <x:c r="A102" s="22"/>
      <x:c r="B102" s="28"/>
      <x:c r="C102" s="22"/>
      <x:c r="D102" s="22"/>
      <x:c r="E102" s="22"/>
      <x:c r="F102" s="24"/>
      <x:c r="G102" s="22"/>
      <x:c r="H102" s="26"/>
      <x:c r="I102" s="22"/>
      <x:c r="J102" s="22"/>
    </x:row>
    <x:row r="103">
      <x:c r="A103" s="22"/>
      <x:c r="B103" s="28"/>
      <x:c r="C103" s="22"/>
      <x:c r="D103" s="22"/>
      <x:c r="E103" s="22"/>
      <x:c r="F103" s="24"/>
      <x:c r="G103" s="22"/>
      <x:c r="H103" s="26"/>
      <x:c r="I103" s="22"/>
      <x:c r="J103" s="22"/>
    </x:row>
    <x:row r="104">
      <x:c r="A104" s="22"/>
      <x:c r="B104" s="28"/>
      <x:c r="C104" s="22"/>
      <x:c r="D104" s="22"/>
      <x:c r="E104" s="22"/>
      <x:c r="F104" s="24"/>
      <x:c r="G104" s="22"/>
      <x:c r="H104" s="26"/>
      <x:c r="I104" s="22"/>
      <x:c r="J104" s="22"/>
    </x:row>
    <x:row r="105">
      <x:c r="A105" s="22"/>
      <x:c r="B105" s="28"/>
      <x:c r="C105" s="22"/>
      <x:c r="D105" s="22"/>
      <x:c r="E105" s="22"/>
      <x:c r="F105" s="24"/>
      <x:c r="G105" s="22"/>
      <x:c r="H105" s="26"/>
      <x:c r="I105" s="22"/>
      <x:c r="J105" s="22"/>
    </x:row>
    <x:row r="106">
      <x:c r="A106" s="22"/>
      <x:c r="B106" s="28"/>
      <x:c r="C106" s="22"/>
      <x:c r="D106" s="22"/>
      <x:c r="E106" s="22"/>
      <x:c r="F106" s="24"/>
      <x:c r="G106" s="22"/>
      <x:c r="H106" s="26"/>
      <x:c r="I106" s="22"/>
      <x:c r="J106" s="22"/>
    </x:row>
    <x:row r="107">
      <x:c r="A107" s="22"/>
      <x:c r="B107" s="28"/>
      <x:c r="C107" s="22"/>
      <x:c r="D107" s="22"/>
      <x:c r="E107" s="22"/>
      <x:c r="F107" s="24"/>
      <x:c r="G107" s="22"/>
      <x:c r="H107" s="26"/>
      <x:c r="I107" s="22"/>
      <x:c r="J107" s="22"/>
    </x:row>
    <x:row r="108">
      <x:c r="A108" s="22"/>
      <x:c r="B108" s="28"/>
      <x:c r="C108" s="22"/>
      <x:c r="D108" s="22"/>
      <x:c r="E108" s="22"/>
      <x:c r="F108" s="24"/>
      <x:c r="G108" s="22"/>
      <x:c r="H108" s="26"/>
      <x:c r="I108" s="22"/>
      <x:c r="J108" s="22"/>
    </x:row>
    <x:row r="109">
      <x:c r="A109" s="22"/>
      <x:c r="B109" s="28"/>
      <x:c r="C109" s="22"/>
      <x:c r="D109" s="22"/>
      <x:c r="E109" s="22"/>
      <x:c r="F109" s="24"/>
      <x:c r="G109" s="22"/>
      <x:c r="H109" s="26"/>
      <x:c r="I109" s="22"/>
      <x:c r="J109" s="22"/>
    </x:row>
    <x:row r="110">
      <x:c r="A110" s="22"/>
      <x:c r="B110" s="28"/>
      <x:c r="C110" s="22"/>
      <x:c r="D110" s="22"/>
      <x:c r="E110" s="22"/>
      <x:c r="F110" s="24"/>
      <x:c r="G110" s="22"/>
      <x:c r="H110" s="26"/>
      <x:c r="I110" s="22"/>
      <x:c r="J110" s="22"/>
    </x:row>
    <x:row r="111">
      <x:c r="A111" s="22"/>
      <x:c r="B111" s="28"/>
      <x:c r="C111" s="22"/>
      <x:c r="D111" s="22"/>
      <x:c r="E111" s="22"/>
      <x:c r="F111" s="24"/>
      <x:c r="G111" s="22"/>
      <x:c r="H111" s="26"/>
      <x:c r="I111" s="22"/>
      <x:c r="J111" s="22"/>
    </x:row>
    <x:row r="112">
      <x:c r="A112" s="22"/>
      <x:c r="B112" s="28"/>
      <x:c r="C112" s="22"/>
      <x:c r="D112" s="22"/>
      <x:c r="E112" s="22"/>
      <x:c r="F112" s="24"/>
      <x:c r="G112" s="22"/>
      <x:c r="H112" s="26"/>
      <x:c r="I112" s="22"/>
      <x:c r="J112" s="22"/>
    </x:row>
    <x:row r="113">
      <x:c r="A113" s="22"/>
      <x:c r="B113" s="28"/>
      <x:c r="C113" s="22"/>
      <x:c r="D113" s="22"/>
      <x:c r="E113" s="22"/>
      <x:c r="F113" s="24"/>
      <x:c r="G113" s="22"/>
      <x:c r="H113" s="26"/>
      <x:c r="I113" s="22"/>
      <x:c r="J113" s="22"/>
    </x:row>
    <x:row r="114">
      <x:c r="A114" s="22"/>
      <x:c r="B114" s="28"/>
      <x:c r="C114" s="22"/>
      <x:c r="D114" s="22"/>
      <x:c r="E114" s="22"/>
      <x:c r="F114" s="24"/>
      <x:c r="G114" s="22"/>
      <x:c r="H114" s="26"/>
      <x:c r="I114" s="22"/>
      <x:c r="J114" s="22"/>
    </x:row>
    <x:row r="115">
      <x:c r="A115" s="22"/>
      <x:c r="B115" s="28"/>
      <x:c r="C115" s="22"/>
      <x:c r="D115" s="22"/>
      <x:c r="E115" s="22"/>
      <x:c r="F115" s="24"/>
      <x:c r="G115" s="22"/>
      <x:c r="H115" s="26"/>
      <x:c r="I115" s="22"/>
      <x:c r="J115" s="22"/>
    </x:row>
    <x:row r="116">
      <x:c r="A116" s="22"/>
      <x:c r="B116" s="28"/>
      <x:c r="C116" s="22"/>
      <x:c r="D116" s="22"/>
      <x:c r="E116" s="22"/>
      <x:c r="F116" s="24"/>
      <x:c r="G116" s="22"/>
      <x:c r="H116" s="26"/>
      <x:c r="I116" s="22"/>
      <x:c r="J116" s="22"/>
    </x:row>
    <x:row r="117">
      <x:c r="A117" s="22"/>
      <x:c r="B117" s="28"/>
      <x:c r="C117" s="22"/>
      <x:c r="D117" s="22"/>
      <x:c r="E117" s="22"/>
      <x:c r="F117" s="24"/>
      <x:c r="G117" s="22"/>
      <x:c r="H117" s="26"/>
      <x:c r="I117" s="22"/>
      <x:c r="J117" s="22"/>
    </x:row>
    <x:row r="118">
      <x:c r="A118" s="22"/>
      <x:c r="B118" s="28"/>
      <x:c r="C118" s="22"/>
      <x:c r="D118" s="22"/>
      <x:c r="E118" s="22"/>
      <x:c r="F118" s="24"/>
      <x:c r="G118" s="22"/>
      <x:c r="H118" s="26"/>
      <x:c r="I118" s="22"/>
      <x:c r="J118" s="22"/>
    </x:row>
    <x:row r="119">
      <x:c r="A119" s="22"/>
      <x:c r="B119" s="28"/>
      <x:c r="C119" s="22"/>
      <x:c r="D119" s="22"/>
      <x:c r="E119" s="22"/>
      <x:c r="F119" s="24"/>
      <x:c r="G119" s="22"/>
      <x:c r="H119" s="26"/>
      <x:c r="I119" s="22"/>
      <x:c r="J119" s="22"/>
    </x:row>
    <x:row r="120">
      <x:c r="A120" s="22"/>
      <x:c r="B120" s="28"/>
      <x:c r="C120" s="22"/>
      <x:c r="D120" s="22"/>
      <x:c r="E120" s="22"/>
      <x:c r="F120" s="24"/>
      <x:c r="G120" s="22"/>
      <x:c r="H120" s="26"/>
      <x:c r="I120" s="22"/>
      <x:c r="J120" s="22"/>
    </x:row>
    <x:row r="121">
      <x:c r="A121" s="22"/>
      <x:c r="B121" s="28"/>
      <x:c r="C121" s="22"/>
      <x:c r="D121" s="22"/>
      <x:c r="E121" s="22"/>
      <x:c r="F121" s="24"/>
      <x:c r="G121" s="22"/>
      <x:c r="H121" s="26"/>
      <x:c r="I121" s="22"/>
      <x:c r="J121" s="22"/>
    </x:row>
    <x:row r="122">
      <x:c r="A122" s="22"/>
      <x:c r="B122" s="28"/>
      <x:c r="C122" s="22"/>
      <x:c r="D122" s="22"/>
      <x:c r="E122" s="22"/>
      <x:c r="F122" s="24"/>
      <x:c r="G122" s="22"/>
      <x:c r="H122" s="26"/>
      <x:c r="I122" s="22"/>
      <x:c r="J122" s="22"/>
    </x:row>
    <x:row r="123">
      <x:c r="A123" s="22"/>
      <x:c r="B123" s="28"/>
      <x:c r="C123" s="22"/>
      <x:c r="D123" s="22"/>
      <x:c r="E123" s="22"/>
      <x:c r="F123" s="24"/>
      <x:c r="G123" s="22"/>
      <x:c r="H123" s="26"/>
      <x:c r="I123" s="22"/>
      <x:c r="J123" s="22"/>
    </x:row>
    <x:row r="124">
      <x:c r="A124" s="22"/>
      <x:c r="B124" s="28"/>
      <x:c r="C124" s="22"/>
      <x:c r="D124" s="22"/>
      <x:c r="E124" s="22"/>
      <x:c r="F124" s="24"/>
      <x:c r="G124" s="22"/>
      <x:c r="H124" s="26"/>
      <x:c r="I124" s="22"/>
      <x:c r="J124" s="22"/>
    </x:row>
    <x:row r="125">
      <x:c r="A125" s="22"/>
      <x:c r="B125" s="28"/>
      <x:c r="C125" s="22"/>
      <x:c r="D125" s="22"/>
      <x:c r="E125" s="22"/>
      <x:c r="F125" s="24"/>
      <x:c r="G125" s="22"/>
      <x:c r="H125" s="26"/>
      <x:c r="I125" s="22"/>
      <x:c r="J125" s="22"/>
    </x:row>
    <x:row r="126">
      <x:c r="A126" s="22"/>
      <x:c r="B126" s="28"/>
      <x:c r="C126" s="22"/>
      <x:c r="D126" s="22"/>
      <x:c r="E126" s="22"/>
      <x:c r="F126" s="24"/>
      <x:c r="G126" s="22"/>
      <x:c r="H126" s="26"/>
      <x:c r="I126" s="22"/>
      <x:c r="J126" s="22"/>
    </x:row>
    <x:row r="127">
      <x:c r="A127" s="22"/>
      <x:c r="B127" s="28"/>
      <x:c r="C127" s="22"/>
      <x:c r="D127" s="22"/>
      <x:c r="E127" s="22"/>
      <x:c r="F127" s="24"/>
      <x:c r="G127" s="22"/>
      <x:c r="H127" s="26"/>
      <x:c r="I127" s="22"/>
      <x:c r="J127" s="22"/>
    </x:row>
    <x:row r="128">
      <x:c r="A128" s="22"/>
      <x:c r="B128" s="28"/>
      <x:c r="C128" s="22"/>
      <x:c r="D128" s="22"/>
      <x:c r="E128" s="22"/>
      <x:c r="F128" s="24"/>
      <x:c r="G128" s="22"/>
      <x:c r="H128" s="26"/>
      <x:c r="I128" s="22"/>
      <x:c r="J128" s="22"/>
    </x:row>
    <x:row r="129">
      <x:c r="A129" s="22"/>
      <x:c r="B129" s="28"/>
      <x:c r="C129" s="22"/>
      <x:c r="D129" s="22"/>
      <x:c r="E129" s="22"/>
      <x:c r="F129" s="24"/>
      <x:c r="G129" s="22"/>
      <x:c r="H129" s="26"/>
      <x:c r="I129" s="22"/>
      <x:c r="J129" s="22"/>
    </x:row>
    <x:row r="130">
      <x:c r="A130" s="22"/>
      <x:c r="B130" s="28"/>
      <x:c r="C130" s="22"/>
      <x:c r="D130" s="22"/>
      <x:c r="E130" s="22"/>
      <x:c r="F130" s="24"/>
      <x:c r="G130" s="22"/>
      <x:c r="H130" s="26"/>
      <x:c r="I130" s="22"/>
      <x:c r="J130" s="22"/>
    </x:row>
    <x:row r="131">
      <x:c r="A131" s="22"/>
      <x:c r="B131" s="28"/>
      <x:c r="C131" s="22"/>
      <x:c r="D131" s="22"/>
      <x:c r="E131" s="22"/>
      <x:c r="F131" s="24"/>
      <x:c r="G131" s="22"/>
      <x:c r="H131" s="26"/>
      <x:c r="I131" s="22"/>
      <x:c r="J131" s="22"/>
    </x:row>
    <x:row r="132">
      <x:c r="A132" s="22"/>
      <x:c r="B132" s="28"/>
      <x:c r="C132" s="22"/>
      <x:c r="D132" s="22"/>
      <x:c r="E132" s="22"/>
      <x:c r="F132" s="24"/>
      <x:c r="G132" s="22"/>
      <x:c r="H132" s="26"/>
      <x:c r="I132" s="22"/>
      <x:c r="J132" s="22"/>
    </x:row>
    <x:row r="133">
      <x:c r="A133" s="22"/>
      <x:c r="B133" s="28"/>
      <x:c r="C133" s="22"/>
      <x:c r="D133" s="22"/>
      <x:c r="E133" s="22"/>
      <x:c r="F133" s="24"/>
      <x:c r="G133" s="22"/>
      <x:c r="H133" s="26"/>
      <x:c r="I133" s="22"/>
      <x:c r="J133" s="22"/>
    </x:row>
    <x:row r="134">
      <x:c r="A134" s="22"/>
      <x:c r="B134" s="28"/>
      <x:c r="C134" s="22"/>
      <x:c r="D134" s="22"/>
      <x:c r="E134" s="22"/>
      <x:c r="F134" s="24"/>
      <x:c r="G134" s="22"/>
      <x:c r="H134" s="26"/>
      <x:c r="I134" s="22"/>
      <x:c r="J134" s="22"/>
    </x:row>
    <x:row r="135">
      <x:c r="A135" s="22"/>
      <x:c r="B135" s="28"/>
      <x:c r="C135" s="22"/>
      <x:c r="D135" s="22"/>
      <x:c r="E135" s="22"/>
      <x:c r="F135" s="24"/>
      <x:c r="G135" s="22"/>
      <x:c r="H135" s="26"/>
      <x:c r="I135" s="22"/>
      <x:c r="J135" s="22"/>
    </x:row>
    <x:row r="136">
      <x:c r="A136" s="22"/>
      <x:c r="B136" s="28"/>
      <x:c r="C136" s="22"/>
      <x:c r="D136" s="22"/>
      <x:c r="E136" s="22"/>
      <x:c r="F136" s="24"/>
      <x:c r="G136" s="22"/>
      <x:c r="H136" s="26"/>
      <x:c r="I136" s="22"/>
      <x:c r="J136" s="22"/>
    </x:row>
    <x:row r="137">
      <x:c r="A137" s="22"/>
      <x:c r="B137" s="28"/>
      <x:c r="C137" s="22"/>
      <x:c r="D137" s="22"/>
      <x:c r="E137" s="22"/>
      <x:c r="F137" s="24"/>
      <x:c r="G137" s="22"/>
      <x:c r="H137" s="26"/>
      <x:c r="I137" s="22"/>
      <x:c r="J137" s="22"/>
    </x:row>
    <x:row r="138">
      <x:c r="A138" s="22"/>
      <x:c r="B138" s="28"/>
      <x:c r="C138" s="22"/>
      <x:c r="D138" s="22"/>
      <x:c r="E138" s="22"/>
      <x:c r="F138" s="24"/>
      <x:c r="G138" s="22"/>
      <x:c r="H138" s="26"/>
      <x:c r="I138" s="22"/>
      <x:c r="J138" s="22"/>
    </x:row>
    <x:row r="139">
      <x:c r="A139" s="22"/>
      <x:c r="B139" s="28"/>
      <x:c r="C139" s="22"/>
      <x:c r="D139" s="22"/>
      <x:c r="E139" s="22"/>
      <x:c r="F139" s="24"/>
      <x:c r="G139" s="22"/>
      <x:c r="H139" s="26"/>
      <x:c r="I139" s="22"/>
      <x:c r="J139" s="22"/>
    </x:row>
    <x:row r="140">
      <x:c r="A140" s="22"/>
      <x:c r="B140" s="28"/>
      <x:c r="C140" s="22"/>
      <x:c r="D140" s="22"/>
      <x:c r="E140" s="22"/>
      <x:c r="F140" s="24"/>
      <x:c r="G140" s="22"/>
      <x:c r="H140" s="26"/>
      <x:c r="I140" s="22"/>
      <x:c r="J140" s="22"/>
    </x:row>
    <x:row r="141">
      <x:c r="A141" s="22"/>
      <x:c r="B141" s="28"/>
      <x:c r="C141" s="22"/>
      <x:c r="D141" s="22"/>
      <x:c r="E141" s="22"/>
      <x:c r="F141" s="24"/>
      <x:c r="G141" s="22"/>
      <x:c r="H141" s="26"/>
      <x:c r="I141" s="22"/>
      <x:c r="J141" s="22"/>
    </x:row>
    <x:row r="142">
      <x:c r="A142" s="22"/>
      <x:c r="B142" s="28"/>
      <x:c r="C142" s="22"/>
      <x:c r="D142" s="22"/>
      <x:c r="E142" s="22"/>
      <x:c r="F142" s="24"/>
      <x:c r="G142" s="22"/>
      <x:c r="H142" s="26"/>
      <x:c r="I142" s="22"/>
      <x:c r="J142" s="22"/>
    </x:row>
    <x:row r="143">
      <x:c r="A143" s="22"/>
      <x:c r="B143" s="28"/>
      <x:c r="C143" s="22"/>
      <x:c r="D143" s="22"/>
      <x:c r="E143" s="22"/>
      <x:c r="F143" s="24"/>
      <x:c r="G143" s="22"/>
      <x:c r="H143" s="26"/>
      <x:c r="I143" s="22"/>
      <x:c r="J143" s="22"/>
    </x:row>
    <x:row r="144">
      <x:c r="A144" s="22"/>
      <x:c r="B144" s="28"/>
      <x:c r="C144" s="22"/>
      <x:c r="D144" s="22"/>
      <x:c r="E144" s="22"/>
      <x:c r="F144" s="24"/>
      <x:c r="G144" s="22"/>
      <x:c r="H144" s="26"/>
      <x:c r="I144" s="22"/>
      <x:c r="J144" s="22"/>
    </x:row>
    <x:row r="145">
      <x:c r="A145" s="22"/>
      <x:c r="B145" s="28"/>
      <x:c r="C145" s="22"/>
      <x:c r="D145" s="22"/>
      <x:c r="E145" s="22"/>
      <x:c r="F145" s="24"/>
      <x:c r="G145" s="22"/>
      <x:c r="H145" s="26"/>
      <x:c r="I145" s="22"/>
      <x:c r="J145" s="22"/>
    </x:row>
    <x:row r="146">
      <x:c r="A146" s="22"/>
      <x:c r="B146" s="28"/>
      <x:c r="C146" s="22"/>
      <x:c r="D146" s="22"/>
      <x:c r="E146" s="22"/>
      <x:c r="F146" s="24"/>
      <x:c r="G146" s="22"/>
      <x:c r="H146" s="26"/>
      <x:c r="I146" s="22"/>
      <x:c r="J146" s="22"/>
    </x:row>
    <x:row r="147">
      <x:c r="A147" s="22"/>
      <x:c r="B147" s="28"/>
      <x:c r="C147" s="22"/>
      <x:c r="D147" s="22"/>
      <x:c r="E147" s="22"/>
      <x:c r="F147" s="24"/>
      <x:c r="G147" s="22"/>
      <x:c r="H147" s="26"/>
      <x:c r="I147" s="22"/>
      <x:c r="J147" s="22"/>
    </x:row>
    <x:row r="148">
      <x:c r="A148" s="22"/>
      <x:c r="B148" s="28"/>
      <x:c r="C148" s="22"/>
      <x:c r="D148" s="22"/>
      <x:c r="E148" s="22"/>
      <x:c r="F148" s="24"/>
      <x:c r="G148" s="22"/>
      <x:c r="H148" s="26"/>
      <x:c r="I148" s="22"/>
      <x:c r="J148" s="22"/>
    </x:row>
    <x:row r="149">
      <x:c r="A149" s="22"/>
      <x:c r="B149" s="28"/>
      <x:c r="C149" s="22"/>
      <x:c r="D149" s="22"/>
      <x:c r="E149" s="22"/>
      <x:c r="F149" s="24"/>
      <x:c r="G149" s="22"/>
      <x:c r="H149" s="26"/>
      <x:c r="I149" s="22"/>
      <x:c r="J149" s="22"/>
    </x:row>
    <x:row r="150">
      <x:c r="A150" s="22"/>
      <x:c r="B150" s="28"/>
      <x:c r="C150" s="22"/>
      <x:c r="D150" s="22"/>
      <x:c r="E150" s="22"/>
      <x:c r="F150" s="24"/>
      <x:c r="G150" s="22"/>
      <x:c r="H150" s="26"/>
      <x:c r="I150" s="22"/>
      <x:c r="J150" s="22"/>
    </x:row>
    <x:row r="151">
      <x:c r="A151" s="22"/>
      <x:c r="B151" s="28"/>
      <x:c r="C151" s="22"/>
      <x:c r="D151" s="22"/>
      <x:c r="E151" s="22"/>
      <x:c r="F151" s="24"/>
      <x:c r="G151" s="22"/>
      <x:c r="H151" s="26"/>
      <x:c r="I151" s="22"/>
      <x:c r="J151" s="22"/>
    </x:row>
    <x:row r="152">
      <x:c r="A152" s="22"/>
      <x:c r="B152" s="28"/>
      <x:c r="C152" s="22"/>
      <x:c r="D152" s="22"/>
      <x:c r="E152" s="22"/>
      <x:c r="F152" s="24"/>
      <x:c r="G152" s="22"/>
      <x:c r="H152" s="26"/>
      <x:c r="I152" s="22"/>
      <x:c r="J152" s="22"/>
    </x:row>
    <x:row r="153">
      <x:c r="A153" s="22"/>
      <x:c r="B153" s="28"/>
      <x:c r="C153" s="22"/>
      <x:c r="D153" s="22"/>
      <x:c r="E153" s="22"/>
      <x:c r="F153" s="24"/>
      <x:c r="G153" s="22"/>
      <x:c r="H153" s="26"/>
      <x:c r="I153" s="22"/>
      <x:c r="J153" s="22"/>
    </x:row>
    <x:row r="154">
      <x:c r="A154" s="22"/>
      <x:c r="B154" s="28"/>
      <x:c r="C154" s="22"/>
      <x:c r="D154" s="22"/>
      <x:c r="E154" s="22"/>
      <x:c r="F154" s="24"/>
      <x:c r="G154" s="22"/>
      <x:c r="H154" s="26"/>
      <x:c r="I154" s="22"/>
      <x:c r="J154" s="22"/>
    </x:row>
    <x:row r="155">
      <x:c r="A155" s="22"/>
      <x:c r="B155" s="28"/>
      <x:c r="C155" s="22"/>
      <x:c r="D155" s="22"/>
      <x:c r="E155" s="22"/>
      <x:c r="F155" s="24"/>
      <x:c r="G155" s="22"/>
      <x:c r="H155" s="26"/>
      <x:c r="I155" s="22"/>
      <x:c r="J155" s="22"/>
    </x:row>
    <x:row r="156">
      <x:c r="A156" s="22"/>
      <x:c r="B156" s="28"/>
      <x:c r="C156" s="22"/>
      <x:c r="D156" s="22"/>
      <x:c r="E156" s="22"/>
      <x:c r="F156" s="24"/>
      <x:c r="G156" s="22"/>
      <x:c r="H156" s="26"/>
      <x:c r="I156" s="22"/>
      <x:c r="J156" s="22"/>
    </x:row>
    <x:row r="157">
      <x:c r="A157" s="22"/>
      <x:c r="B157" s="28"/>
      <x:c r="C157" s="22"/>
      <x:c r="D157" s="22"/>
      <x:c r="E157" s="22"/>
      <x:c r="F157" s="24"/>
      <x:c r="G157" s="22"/>
      <x:c r="H157" s="26"/>
      <x:c r="I157" s="22"/>
      <x:c r="J157" s="22"/>
    </x:row>
    <x:row r="158">
      <x:c r="A158" s="22"/>
      <x:c r="B158" s="28"/>
      <x:c r="C158" s="22"/>
      <x:c r="D158" s="22"/>
      <x:c r="E158" s="22"/>
      <x:c r="F158" s="24"/>
      <x:c r="G158" s="22"/>
      <x:c r="H158" s="26"/>
      <x:c r="I158" s="22"/>
      <x:c r="J158" s="22"/>
    </x:row>
    <x:row r="159">
      <x:c r="A159" s="22"/>
      <x:c r="B159" s="28"/>
      <x:c r="C159" s="22"/>
      <x:c r="D159" s="22"/>
      <x:c r="E159" s="22"/>
      <x:c r="F159" s="24"/>
      <x:c r="G159" s="22"/>
      <x:c r="H159" s="26"/>
      <x:c r="I159" s="22"/>
      <x:c r="J159" s="22"/>
    </x:row>
    <x:row r="160">
      <x:c r="A160" s="22"/>
      <x:c r="B160" s="28"/>
      <x:c r="C160" s="22"/>
      <x:c r="D160" s="22"/>
      <x:c r="E160" s="22"/>
      <x:c r="F160" s="24"/>
      <x:c r="G160" s="22"/>
      <x:c r="H160" s="26"/>
      <x:c r="I160" s="22"/>
      <x:c r="J160" s="22"/>
    </x:row>
    <x:row r="161">
      <x:c r="A161" s="22"/>
      <x:c r="B161" s="28"/>
      <x:c r="C161" s="22"/>
      <x:c r="D161" s="22"/>
      <x:c r="E161" s="22"/>
      <x:c r="F161" s="24"/>
      <x:c r="G161" s="22"/>
      <x:c r="H161" s="26"/>
      <x:c r="I161" s="22"/>
      <x:c r="J161" s="22"/>
    </x:row>
    <x:row r="162">
      <x:c r="A162" s="22"/>
      <x:c r="B162" s="28"/>
      <x:c r="C162" s="22"/>
      <x:c r="D162" s="22"/>
      <x:c r="E162" s="22"/>
      <x:c r="F162" s="24"/>
      <x:c r="G162" s="22"/>
      <x:c r="H162" s="26"/>
      <x:c r="I162" s="22"/>
      <x:c r="J162" s="22"/>
    </x:row>
    <x:row r="163">
      <x:c r="A163" s="22"/>
      <x:c r="B163" s="28"/>
      <x:c r="C163" s="22"/>
      <x:c r="D163" s="22"/>
      <x:c r="E163" s="22"/>
      <x:c r="F163" s="24"/>
      <x:c r="G163" s="22"/>
      <x:c r="H163" s="26"/>
      <x:c r="I163" s="22"/>
      <x:c r="J163" s="22"/>
    </x:row>
    <x:row r="164">
      <x:c r="A164" s="22"/>
      <x:c r="B164" s="28"/>
      <x:c r="C164" s="22"/>
      <x:c r="D164" s="22"/>
      <x:c r="E164" s="22"/>
      <x:c r="F164" s="24"/>
      <x:c r="G164" s="22"/>
      <x:c r="H164" s="26"/>
      <x:c r="I164" s="22"/>
      <x:c r="J164" s="22"/>
    </x:row>
    <x:row r="165">
      <x:c r="A165" s="22"/>
      <x:c r="B165" s="28"/>
      <x:c r="C165" s="22"/>
      <x:c r="D165" s="22"/>
      <x:c r="E165" s="22"/>
      <x:c r="F165" s="24"/>
      <x:c r="G165" s="22"/>
      <x:c r="H165" s="26"/>
      <x:c r="I165" s="22"/>
      <x:c r="J165" s="22"/>
    </x:row>
    <x:row r="166">
      <x:c r="A166" s="22"/>
      <x:c r="B166" s="28"/>
      <x:c r="C166" s="22"/>
      <x:c r="D166" s="22"/>
      <x:c r="E166" s="22"/>
      <x:c r="F166" s="24"/>
      <x:c r="G166" s="22"/>
      <x:c r="H166" s="26"/>
      <x:c r="I166" s="22"/>
      <x:c r="J166" s="22"/>
    </x:row>
    <x:row r="167">
      <x:c r="A167" s="22"/>
      <x:c r="B167" s="28"/>
      <x:c r="C167" s="22"/>
      <x:c r="D167" s="22"/>
      <x:c r="E167" s="22"/>
      <x:c r="F167" s="24"/>
      <x:c r="G167" s="22"/>
      <x:c r="H167" s="26"/>
      <x:c r="I167" s="22"/>
      <x:c r="J167" s="22"/>
    </x:row>
    <x:row r="168">
      <x:c r="A168" s="22"/>
      <x:c r="B168" s="28"/>
      <x:c r="C168" s="22"/>
      <x:c r="D168" s="22"/>
      <x:c r="E168" s="22"/>
      <x:c r="F168" s="24"/>
      <x:c r="G168" s="22"/>
      <x:c r="H168" s="26"/>
      <x:c r="I168" s="22"/>
      <x:c r="J168" s="22"/>
    </x:row>
    <x:row r="169">
      <x:c r="A169" s="22"/>
      <x:c r="B169" s="28"/>
      <x:c r="C169" s="22"/>
      <x:c r="D169" s="22"/>
      <x:c r="E169" s="22"/>
      <x:c r="F169" s="24"/>
      <x:c r="G169" s="22"/>
      <x:c r="H169" s="26"/>
      <x:c r="I169" s="22"/>
      <x:c r="J169" s="22"/>
    </x:row>
    <x:row r="170">
      <x:c r="A170" s="22"/>
      <x:c r="B170" s="28"/>
      <x:c r="C170" s="22"/>
      <x:c r="D170" s="22"/>
      <x:c r="E170" s="22"/>
      <x:c r="F170" s="24"/>
      <x:c r="G170" s="22"/>
      <x:c r="H170" s="26"/>
      <x:c r="I170" s="22"/>
      <x:c r="J170" s="22"/>
    </x:row>
    <x:row r="171">
      <x:c r="A171" s="22"/>
      <x:c r="B171" s="28"/>
      <x:c r="C171" s="22"/>
      <x:c r="D171" s="22"/>
      <x:c r="E171" s="22"/>
      <x:c r="F171" s="24"/>
      <x:c r="G171" s="22"/>
      <x:c r="H171" s="26"/>
      <x:c r="I171" s="22"/>
      <x:c r="J171" s="22"/>
    </x:row>
    <x:row r="172">
      <x:c r="A172" s="22"/>
      <x:c r="B172" s="28"/>
      <x:c r="C172" s="22"/>
      <x:c r="D172" s="22"/>
      <x:c r="E172" s="22"/>
      <x:c r="F172" s="24"/>
      <x:c r="G172" s="22"/>
      <x:c r="H172" s="26"/>
      <x:c r="I172" s="22"/>
      <x:c r="J172" s="22"/>
    </x:row>
    <x:row r="173">
      <x:c r="A173" s="22"/>
      <x:c r="B173" s="28"/>
      <x:c r="C173" s="22"/>
      <x:c r="D173" s="22"/>
      <x:c r="E173" s="22"/>
      <x:c r="F173" s="24"/>
      <x:c r="G173" s="22"/>
      <x:c r="H173" s="26"/>
      <x:c r="I173" s="22"/>
      <x:c r="J173" s="22"/>
    </x:row>
    <x:row r="174">
      <x:c r="A174" s="22"/>
      <x:c r="B174" s="28"/>
      <x:c r="C174" s="22"/>
      <x:c r="D174" s="22"/>
      <x:c r="E174" s="22"/>
      <x:c r="F174" s="24"/>
      <x:c r="G174" s="22"/>
      <x:c r="H174" s="26"/>
      <x:c r="I174" s="22"/>
      <x:c r="J174" s="22"/>
    </x:row>
    <x:row r="175">
      <x:c r="A175" s="22"/>
      <x:c r="B175" s="28"/>
      <x:c r="C175" s="22"/>
      <x:c r="D175" s="22"/>
      <x:c r="E175" s="22"/>
      <x:c r="F175" s="24"/>
      <x:c r="G175" s="22"/>
      <x:c r="H175" s="26"/>
      <x:c r="I175" s="22"/>
      <x:c r="J175" s="22"/>
    </x:row>
    <x:row r="176">
      <x:c r="A176" s="22"/>
      <x:c r="B176" s="28"/>
      <x:c r="C176" s="22"/>
      <x:c r="D176" s="22"/>
      <x:c r="E176" s="22"/>
      <x:c r="F176" s="24"/>
      <x:c r="G176" s="22"/>
      <x:c r="H176" s="26"/>
      <x:c r="I176" s="22"/>
      <x:c r="J176" s="22"/>
    </x:row>
    <x:row r="177">
      <x:c r="A177" s="22"/>
      <x:c r="B177" s="28"/>
      <x:c r="C177" s="22"/>
      <x:c r="D177" s="22"/>
      <x:c r="E177" s="22"/>
      <x:c r="F177" s="24"/>
      <x:c r="G177" s="22"/>
      <x:c r="H177" s="26"/>
      <x:c r="I177" s="22"/>
      <x:c r="J177" s="22"/>
    </x:row>
    <x:row r="178">
      <x:c r="A178" s="22"/>
      <x:c r="B178" s="28"/>
      <x:c r="C178" s="22"/>
      <x:c r="D178" s="22"/>
      <x:c r="E178" s="22"/>
      <x:c r="F178" s="24"/>
      <x:c r="G178" s="22"/>
      <x:c r="H178" s="26"/>
      <x:c r="I178" s="22"/>
      <x:c r="J178" s="22"/>
    </x:row>
    <x:row r="179">
      <x:c r="A179" s="22"/>
      <x:c r="B179" s="28"/>
      <x:c r="C179" s="22"/>
      <x:c r="D179" s="22"/>
      <x:c r="E179" s="22"/>
      <x:c r="F179" s="24"/>
      <x:c r="G179" s="22"/>
      <x:c r="H179" s="26"/>
      <x:c r="I179" s="22"/>
      <x:c r="J179" s="22"/>
    </x:row>
    <x:row r="180">
      <x:c r="A180" s="22"/>
      <x:c r="B180" s="28"/>
      <x:c r="C180" s="22"/>
      <x:c r="D180" s="22"/>
      <x:c r="E180" s="22"/>
      <x:c r="F180" s="24"/>
      <x:c r="G180" s="22"/>
      <x:c r="H180" s="26"/>
      <x:c r="I180" s="22"/>
      <x:c r="J180" s="22"/>
    </x:row>
    <x:row r="181">
      <x:c r="A181" s="22"/>
      <x:c r="B181" s="28"/>
      <x:c r="C181" s="22"/>
      <x:c r="D181" s="22"/>
      <x:c r="E181" s="22"/>
      <x:c r="F181" s="24"/>
      <x:c r="G181" s="22"/>
      <x:c r="H181" s="26"/>
      <x:c r="I181" s="22"/>
      <x:c r="J181" s="22"/>
    </x:row>
    <x:row r="182">
      <x:c r="A182" s="22"/>
      <x:c r="B182" s="28"/>
      <x:c r="C182" s="22"/>
      <x:c r="D182" s="22"/>
      <x:c r="E182" s="22"/>
      <x:c r="F182" s="24"/>
      <x:c r="G182" s="22"/>
      <x:c r="H182" s="26"/>
      <x:c r="I182" s="22"/>
      <x:c r="J182" s="22"/>
    </x:row>
    <x:row r="183">
      <x:c r="A183" s="22"/>
      <x:c r="B183" s="28"/>
      <x:c r="C183" s="22"/>
      <x:c r="D183" s="22"/>
      <x:c r="E183" s="22"/>
      <x:c r="F183" s="24"/>
      <x:c r="G183" s="22"/>
      <x:c r="H183" s="26"/>
      <x:c r="I183" s="22"/>
      <x:c r="J183" s="22"/>
    </x:row>
    <x:row r="184">
      <x:c r="A184" s="22"/>
      <x:c r="B184" s="28"/>
      <x:c r="C184" s="22"/>
      <x:c r="D184" s="22"/>
      <x:c r="E184" s="22"/>
      <x:c r="F184" s="24"/>
      <x:c r="G184" s="22"/>
      <x:c r="H184" s="26"/>
      <x:c r="I184" s="22"/>
      <x:c r="J184" s="22"/>
    </x:row>
    <x:row r="185">
      <x:c r="A185" s="22"/>
      <x:c r="B185" s="28"/>
      <x:c r="C185" s="22"/>
      <x:c r="D185" s="22"/>
      <x:c r="E185" s="22"/>
      <x:c r="F185" s="24"/>
      <x:c r="G185" s="22"/>
      <x:c r="H185" s="26"/>
      <x:c r="I185" s="22"/>
      <x:c r="J185" s="22"/>
    </x:row>
    <x:row r="186">
      <x:c r="A186" s="22"/>
      <x:c r="B186" s="28"/>
      <x:c r="C186" s="22"/>
      <x:c r="D186" s="22"/>
      <x:c r="E186" s="22"/>
      <x:c r="F186" s="24"/>
      <x:c r="G186" s="22"/>
      <x:c r="H186" s="26"/>
      <x:c r="I186" s="22"/>
      <x:c r="J186" s="22"/>
    </x:row>
    <x:row r="187">
      <x:c r="A187" s="22"/>
      <x:c r="B187" s="28"/>
      <x:c r="C187" s="22"/>
      <x:c r="D187" s="22"/>
      <x:c r="E187" s="22"/>
      <x:c r="F187" s="24"/>
      <x:c r="G187" s="22"/>
      <x:c r="H187" s="26"/>
      <x:c r="I187" s="22"/>
      <x:c r="J187" s="22"/>
    </x:row>
    <x:row r="188">
      <x:c r="A188" s="22"/>
      <x:c r="B188" s="28"/>
      <x:c r="C188" s="22"/>
      <x:c r="D188" s="22"/>
      <x:c r="E188" s="22"/>
      <x:c r="F188" s="24"/>
      <x:c r="G188" s="22"/>
      <x:c r="H188" s="26"/>
      <x:c r="I188" s="22"/>
      <x:c r="J188" s="22"/>
    </x:row>
    <x:row r="189">
      <x:c r="A189" s="22"/>
      <x:c r="B189" s="28"/>
      <x:c r="C189" s="22"/>
      <x:c r="D189" s="22"/>
      <x:c r="E189" s="22"/>
      <x:c r="F189" s="24"/>
      <x:c r="G189" s="22"/>
      <x:c r="H189" s="26"/>
      <x:c r="I189" s="22"/>
      <x:c r="J189" s="22"/>
    </x:row>
    <x:row r="190">
      <x:c r="A190" s="22"/>
      <x:c r="B190" s="28"/>
      <x:c r="C190" s="22"/>
      <x:c r="D190" s="22"/>
      <x:c r="E190" s="22"/>
      <x:c r="F190" s="24"/>
      <x:c r="G190" s="22"/>
      <x:c r="H190" s="26"/>
      <x:c r="I190" s="22"/>
      <x:c r="J190" s="22"/>
    </x:row>
    <x:row r="191">
      <x:c r="A191" s="22"/>
      <x:c r="B191" s="28"/>
      <x:c r="C191" s="22"/>
      <x:c r="D191" s="22"/>
      <x:c r="E191" s="22"/>
      <x:c r="F191" s="24"/>
      <x:c r="G191" s="22"/>
      <x:c r="H191" s="26"/>
      <x:c r="I191" s="22"/>
      <x:c r="J191" s="22"/>
    </x:row>
    <x:row r="192">
      <x:c r="A192" s="22"/>
      <x:c r="B192" s="28"/>
      <x:c r="C192" s="22"/>
      <x:c r="D192" s="22"/>
      <x:c r="E192" s="22"/>
      <x:c r="F192" s="24"/>
      <x:c r="G192" s="22"/>
      <x:c r="H192" s="26"/>
      <x:c r="I192" s="22"/>
      <x:c r="J192" s="22"/>
    </x:row>
    <x:row r="193">
      <x:c r="A193" s="22"/>
      <x:c r="B193" s="28"/>
      <x:c r="C193" s="22"/>
      <x:c r="D193" s="22"/>
      <x:c r="E193" s="22"/>
      <x:c r="F193" s="24"/>
      <x:c r="G193" s="22"/>
      <x:c r="H193" s="26"/>
      <x:c r="I193" s="22"/>
      <x:c r="J193" s="22"/>
    </x:row>
    <x:row r="194">
      <x:c r="A194" s="22"/>
      <x:c r="B194" s="28"/>
      <x:c r="C194" s="22"/>
      <x:c r="D194" s="22"/>
      <x:c r="E194" s="22"/>
      <x:c r="F194" s="24"/>
      <x:c r="G194" s="22"/>
      <x:c r="H194" s="26"/>
      <x:c r="I194" s="22"/>
      <x:c r="J194" s="22"/>
    </x:row>
    <x:row r="195">
      <x:c r="A195" s="22"/>
      <x:c r="B195" s="28"/>
      <x:c r="C195" s="22"/>
      <x:c r="D195" s="22"/>
      <x:c r="E195" s="22"/>
      <x:c r="F195" s="24"/>
      <x:c r="G195" s="22"/>
      <x:c r="H195" s="26"/>
      <x:c r="I195" s="22"/>
      <x:c r="J195" s="22"/>
    </x:row>
    <x:row r="196">
      <x:c r="A196" s="22"/>
      <x:c r="B196" s="28"/>
      <x:c r="C196" s="22"/>
      <x:c r="D196" s="22"/>
      <x:c r="E196" s="22"/>
      <x:c r="F196" s="24"/>
      <x:c r="G196" s="22"/>
      <x:c r="H196" s="26"/>
      <x:c r="I196" s="22"/>
      <x:c r="J196" s="22"/>
    </x:row>
    <x:row r="197">
      <x:c r="A197" s="22"/>
      <x:c r="B197" s="28"/>
      <x:c r="C197" s="22"/>
      <x:c r="D197" s="22"/>
      <x:c r="E197" s="22"/>
      <x:c r="F197" s="24"/>
      <x:c r="G197" s="22"/>
      <x:c r="H197" s="26"/>
      <x:c r="I197" s="22"/>
      <x:c r="J197" s="22"/>
    </x:row>
    <x:row r="198">
      <x:c r="A198" s="22"/>
      <x:c r="B198" s="28"/>
      <x:c r="C198" s="22"/>
      <x:c r="D198" s="22"/>
      <x:c r="E198" s="22"/>
      <x:c r="F198" s="24"/>
      <x:c r="G198" s="22"/>
      <x:c r="H198" s="26"/>
      <x:c r="I198" s="22"/>
      <x:c r="J198" s="22"/>
    </x:row>
    <x:row r="199">
      <x:c r="A199" s="22"/>
      <x:c r="B199" s="28"/>
      <x:c r="C199" s="22"/>
      <x:c r="D199" s="22"/>
      <x:c r="E199" s="22"/>
      <x:c r="F199" s="24"/>
      <x:c r="G199" s="22"/>
      <x:c r="H199" s="26"/>
      <x:c r="I199" s="22"/>
      <x:c r="J199" s="22"/>
    </x:row>
    <x:row r="200">
      <x:c r="A200" s="22"/>
      <x:c r="B200" s="28"/>
      <x:c r="C200" s="22"/>
      <x:c r="D200" s="22"/>
      <x:c r="E200" s="22"/>
      <x:c r="F200" s="24"/>
      <x:c r="G200" s="22"/>
      <x:c r="H200" s="26"/>
      <x:c r="I200" s="22"/>
      <x:c r="J200" s="22"/>
    </x:row>
  </x:sheetData>
  <x:mergeCells>
    <x:mergeCell ref="A1:W1"/>
    <x:mergeCell ref="A2:W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2" hidden="0" customWidth="1"/>
    <x:col min="4" max="4" width="20" hidden="0" customWidth="1"/>
    <x:col min="5" max="5" width="14" hidden="0" customWidth="1"/>
    <x:col min="6" max="6" width="13" hidden="0" customWidth="1"/>
    <x:col min="7" max="7" width="17" hidden="0" customWidth="1"/>
    <x:col min="8" max="8" width="14" hidden="0" customWidth="1"/>
    <x:col min="9" max="9" width="13" hidden="0" customWidth="1"/>
    <x:col min="10" max="10" width="13" hidden="0" customWidth="1"/>
    <x:col min="11" max="11" width="16" hidden="0" customWidth="1"/>
    <x:col min="12" max="12" width="18" hidden="0" customWidth="1"/>
    <x:col min="13" max="13" width="17" hidden="0" customWidth="1"/>
    <x:col min="14" max="14" width="15" hidden="0" customWidth="1"/>
    <x:col min="15" max="15" width="15" hidden="0" customWidth="1"/>
    <x:col min="16" max="16" width="14" hidden="0" customWidth="1"/>
    <x:col min="17" max="17" width="28" hidden="0" customWidth="1"/>
  </x:cols>
  <x:sheetData>
    <x:row r="1" ht="26" customHeight="1">
      <x:c r="A1" s="3" t="str">
        <x:v>KHOẢN VAY &amp; ĐÒN BẨY</x:v>
      </x:c>
    </x:row>
    <x:row r="2" ht="28" customHeight="1">
      <x:c r="A2" s="8" t="str">
        <x:v>Theo dõi vay người thân 0%, vay ưu đãi và vay thực tế.</x:v>
      </x:c>
    </x:row>
    <x:row r="4" ht="30" customHeight="1">
      <x:c r="A4" s="16" t="str">
        <x:v>Debt_ID</x:v>
      </x:c>
      <x:c r="B4" s="16" t="str">
        <x:v>Tên khoản vay</x:v>
      </x:c>
      <x:c r="C4" s="16" t="str">
        <x:v>Goal_ID</x:v>
      </x:c>
      <x:c r="D4" s="16" t="str">
        <x:v>Chủ nợ</x:v>
      </x:c>
      <x:c r="E4" s="16" t="str">
        <x:v>Loại lãi suất</x:v>
      </x:c>
      <x:c r="F4" s="16" t="str">
        <x:v>Ngày vay</x:v>
      </x:c>
      <x:c r="G4" s="16" t="str">
        <x:v>Số tiền vay</x:v>
      </x:c>
      <x:c r="H4" s="16" t="str">
        <x:v>Lãi suất năm</x:v>
      </x:c>
      <x:c r="I4" s="16" t="str">
        <x:v>Kỳ hạn tháng</x:v>
      </x:c>
      <x:c r="J4" s="16" t="str">
        <x:v>Ân hạn tháng</x:v>
      </x:c>
      <x:c r="K4" s="16" t="str">
        <x:v>Kiểu trả</x:v>
      </x:c>
      <x:c r="L4" s="16" t="str">
        <x:v>Trả tháng ước tính</x:v>
      </x:c>
      <x:c r="M4" s="16" t="str">
        <x:v>Dư nợ hiện tại</x:v>
      </x:c>
      <x:c r="N4" s="16" t="str">
        <x:v>Ngày trả tiếp</x:v>
      </x:c>
      <x:c r="O4" s="16" t="str">
        <x:v>Trạng thái</x:v>
      </x:c>
      <x:c r="P4" s="16" t="str">
        <x:v>Privacy_Tag</x:v>
      </x:c>
      <x:c r="Q4" s="16" t="str">
        <x:v>Ghi chú</x:v>
      </x:c>
    </x:row>
    <x:row r="5">
      <x:c r="A5" s="22"/>
      <x:c r="B5" s="22"/>
      <x:c r="C5" s="22"/>
      <x:c r="D5" s="22"/>
      <x:c r="E5" s="22"/>
      <x:c r="F5" s="28"/>
      <x:c r="G5" s="24"/>
      <x:c r="H5" s="26"/>
      <x:c r="I5" s="22"/>
      <x:c r="J5" s="22"/>
      <x:c r="K5" s="22"/>
      <x:c r="L5" s="34" t="n">
        <x:f>IF(OR(G5="",I5=""),0,IF(E5="0%",G5/I5,-PMT(H5/12,I5,G5)))</x:f>
        <x:v>0</x:v>
      </x:c>
      <x:c r="M5" s="34" t="n">
        <x:f>MAX(0,G5-SUMIFS(Debt_Payments!$F:$F,Debt_Payments!$C:$C,A5,Debt_Payments!$H:$H,"POSTED"))</x:f>
        <x:v>0</x:v>
      </x:c>
      <x:c r="N5" s="28"/>
      <x:c r="O5" s="22"/>
      <x:c r="P5" s="22"/>
      <x:c r="Q5" s="22"/>
    </x:row>
    <x:row r="6">
      <x:c r="A6" s="22"/>
      <x:c r="B6" s="22"/>
      <x:c r="C6" s="22"/>
      <x:c r="D6" s="22"/>
      <x:c r="E6" s="22"/>
      <x:c r="F6" s="28"/>
      <x:c r="G6" s="24"/>
      <x:c r="H6" s="26"/>
      <x:c r="I6" s="22"/>
      <x:c r="J6" s="22"/>
      <x:c r="K6" s="22"/>
      <x:c r="L6" s="34" t="n">
        <x:f>IF(OR(G6="",I6=""),0,IF(E6="0%",G6/I6,-PMT(H6/12,I6,G6)))</x:f>
        <x:v>0</x:v>
      </x:c>
      <x:c r="M6" s="34" t="n">
        <x:f>MAX(0,G6-SUMIFS(Debt_Payments!$F:$F,Debt_Payments!$C:$C,A6,Debt_Payments!$H:$H,"POSTED"))</x:f>
        <x:v>0</x:v>
      </x:c>
      <x:c r="N6" s="28"/>
      <x:c r="O6" s="22"/>
      <x:c r="P6" s="22"/>
      <x:c r="Q6" s="22"/>
    </x:row>
    <x:row r="7">
      <x:c r="A7" s="22"/>
      <x:c r="B7" s="22"/>
      <x:c r="C7" s="22"/>
      <x:c r="D7" s="22"/>
      <x:c r="E7" s="22"/>
      <x:c r="F7" s="28"/>
      <x:c r="G7" s="24"/>
      <x:c r="H7" s="26"/>
      <x:c r="I7" s="22"/>
      <x:c r="J7" s="22"/>
      <x:c r="K7" s="22"/>
      <x:c r="L7" s="34" t="n">
        <x:f>IF(OR(G7="",I7=""),0,IF(E7="0%",G7/I7,-PMT(H7/12,I7,G7)))</x:f>
        <x:v>0</x:v>
      </x:c>
      <x:c r="M7" s="34" t="n">
        <x:f>MAX(0,G7-SUMIFS(Debt_Payments!$F:$F,Debt_Payments!$C:$C,A7,Debt_Payments!$H:$H,"POSTED"))</x:f>
        <x:v>0</x:v>
      </x:c>
      <x:c r="N7" s="28"/>
      <x:c r="O7" s="22"/>
      <x:c r="P7" s="22"/>
      <x:c r="Q7" s="22"/>
    </x:row>
    <x:row r="8">
      <x:c r="A8" s="22"/>
      <x:c r="B8" s="22"/>
      <x:c r="C8" s="22"/>
      <x:c r="D8" s="22"/>
      <x:c r="E8" s="22"/>
      <x:c r="F8" s="28"/>
      <x:c r="G8" s="24"/>
      <x:c r="H8" s="26"/>
      <x:c r="I8" s="22"/>
      <x:c r="J8" s="22"/>
      <x:c r="K8" s="22"/>
      <x:c r="L8" s="34" t="n">
        <x:f>IF(OR(G8="",I8=""),0,IF(E8="0%",G8/I8,-PMT(H8/12,I8,G8)))</x:f>
        <x:v>0</x:v>
      </x:c>
      <x:c r="M8" s="34" t="n">
        <x:f>MAX(0,G8-SUMIFS(Debt_Payments!$F:$F,Debt_Payments!$C:$C,A8,Debt_Payments!$H:$H,"POSTED"))</x:f>
        <x:v>0</x:v>
      </x:c>
      <x:c r="N8" s="28"/>
      <x:c r="O8" s="22"/>
      <x:c r="P8" s="22"/>
      <x:c r="Q8" s="22"/>
    </x:row>
    <x:row r="9">
      <x:c r="A9" s="22"/>
      <x:c r="B9" s="22"/>
      <x:c r="C9" s="22"/>
      <x:c r="D9" s="22"/>
      <x:c r="E9" s="22"/>
      <x:c r="F9" s="28"/>
      <x:c r="G9" s="24"/>
      <x:c r="H9" s="26"/>
      <x:c r="I9" s="22"/>
      <x:c r="J9" s="22"/>
      <x:c r="K9" s="22"/>
      <x:c r="L9" s="34" t="n">
        <x:f>IF(OR(G9="",I9=""),0,IF(E9="0%",G9/I9,-PMT(H9/12,I9,G9)))</x:f>
        <x:v>0</x:v>
      </x:c>
      <x:c r="M9" s="34" t="n">
        <x:f>MAX(0,G9-SUMIFS(Debt_Payments!$F:$F,Debt_Payments!$C:$C,A9,Debt_Payments!$H:$H,"POSTED"))</x:f>
        <x:v>0</x:v>
      </x:c>
      <x:c r="N9" s="28"/>
      <x:c r="O9" s="22"/>
      <x:c r="P9" s="22"/>
      <x:c r="Q9" s="22"/>
    </x:row>
    <x:row r="10">
      <x:c r="A10" s="22"/>
      <x:c r="B10" s="22"/>
      <x:c r="C10" s="22"/>
      <x:c r="D10" s="22"/>
      <x:c r="E10" s="22"/>
      <x:c r="F10" s="28"/>
      <x:c r="G10" s="24"/>
      <x:c r="H10" s="26"/>
      <x:c r="I10" s="22"/>
      <x:c r="J10" s="22"/>
      <x:c r="K10" s="22"/>
      <x:c r="L10" s="34" t="n">
        <x:f>IF(OR(G10="",I10=""),0,IF(E10="0%",G10/I10,-PMT(H10/12,I10,G10)))</x:f>
        <x:v>0</x:v>
      </x:c>
      <x:c r="M10" s="34" t="n">
        <x:f>MAX(0,G10-SUMIFS(Debt_Payments!$F:$F,Debt_Payments!$C:$C,A10,Debt_Payments!$H:$H,"POSTED"))</x:f>
        <x:v>0</x:v>
      </x:c>
      <x:c r="N10" s="28"/>
      <x:c r="O10" s="22"/>
      <x:c r="P10" s="22"/>
      <x:c r="Q10" s="22"/>
    </x:row>
    <x:row r="11">
      <x:c r="A11" s="22"/>
      <x:c r="B11" s="22"/>
      <x:c r="C11" s="22"/>
      <x:c r="D11" s="22"/>
      <x:c r="E11" s="22"/>
      <x:c r="F11" s="28"/>
      <x:c r="G11" s="24"/>
      <x:c r="H11" s="26"/>
      <x:c r="I11" s="22"/>
      <x:c r="J11" s="22"/>
      <x:c r="K11" s="22"/>
      <x:c r="L11" s="34" t="n">
        <x:f>IF(OR(G11="",I11=""),0,IF(E11="0%",G11/I11,-PMT(H11/12,I11,G11)))</x:f>
        <x:v>0</x:v>
      </x:c>
      <x:c r="M11" s="34" t="n">
        <x:f>MAX(0,G11-SUMIFS(Debt_Payments!$F:$F,Debt_Payments!$C:$C,A11,Debt_Payments!$H:$H,"POSTED"))</x:f>
        <x:v>0</x:v>
      </x:c>
      <x:c r="N11" s="28"/>
      <x:c r="O11" s="22"/>
      <x:c r="P11" s="22"/>
      <x:c r="Q11" s="22"/>
    </x:row>
    <x:row r="12">
      <x:c r="A12" s="22"/>
      <x:c r="B12" s="22"/>
      <x:c r="C12" s="22"/>
      <x:c r="D12" s="22"/>
      <x:c r="E12" s="22"/>
      <x:c r="F12" s="28"/>
      <x:c r="G12" s="24"/>
      <x:c r="H12" s="26"/>
      <x:c r="I12" s="22"/>
      <x:c r="J12" s="22"/>
      <x:c r="K12" s="22"/>
      <x:c r="L12" s="34" t="n">
        <x:f>IF(OR(G12="",I12=""),0,IF(E12="0%",G12/I12,-PMT(H12/12,I12,G12)))</x:f>
        <x:v>0</x:v>
      </x:c>
      <x:c r="M12" s="34" t="n">
        <x:f>MAX(0,G12-SUMIFS(Debt_Payments!$F:$F,Debt_Payments!$C:$C,A12,Debt_Payments!$H:$H,"POSTED"))</x:f>
        <x:v>0</x:v>
      </x:c>
      <x:c r="N12" s="28"/>
      <x:c r="O12" s="22"/>
      <x:c r="P12" s="22"/>
      <x:c r="Q12" s="22"/>
    </x:row>
    <x:row r="13">
      <x:c r="A13" s="22"/>
      <x:c r="B13" s="22"/>
      <x:c r="C13" s="22"/>
      <x:c r="D13" s="22"/>
      <x:c r="E13" s="22"/>
      <x:c r="F13" s="28"/>
      <x:c r="G13" s="24"/>
      <x:c r="H13" s="26"/>
      <x:c r="I13" s="22"/>
      <x:c r="J13" s="22"/>
      <x:c r="K13" s="22"/>
      <x:c r="L13" s="34" t="n">
        <x:f>IF(OR(G13="",I13=""),0,IF(E13="0%",G13/I13,-PMT(H13/12,I13,G13)))</x:f>
        <x:v>0</x:v>
      </x:c>
      <x:c r="M13" s="34" t="n">
        <x:f>MAX(0,G13-SUMIFS(Debt_Payments!$F:$F,Debt_Payments!$C:$C,A13,Debt_Payments!$H:$H,"POSTED"))</x:f>
        <x:v>0</x:v>
      </x:c>
      <x:c r="N13" s="28"/>
      <x:c r="O13" s="22"/>
      <x:c r="P13" s="22"/>
      <x:c r="Q13" s="22"/>
    </x:row>
    <x:row r="14">
      <x:c r="A14" s="22"/>
      <x:c r="B14" s="22"/>
      <x:c r="C14" s="22"/>
      <x:c r="D14" s="22"/>
      <x:c r="E14" s="22"/>
      <x:c r="F14" s="28"/>
      <x:c r="G14" s="24"/>
      <x:c r="H14" s="26"/>
      <x:c r="I14" s="22"/>
      <x:c r="J14" s="22"/>
      <x:c r="K14" s="22"/>
      <x:c r="L14" s="34" t="n">
        <x:f>IF(OR(G14="",I14=""),0,IF(E14="0%",G14/I14,-PMT(H14/12,I14,G14)))</x:f>
        <x:v>0</x:v>
      </x:c>
      <x:c r="M14" s="34" t="n">
        <x:f>MAX(0,G14-SUMIFS(Debt_Payments!$F:$F,Debt_Payments!$C:$C,A14,Debt_Payments!$H:$H,"POSTED"))</x:f>
        <x:v>0</x:v>
      </x:c>
      <x:c r="N14" s="28"/>
      <x:c r="O14" s="22"/>
      <x:c r="P14" s="22"/>
      <x:c r="Q14" s="22"/>
    </x:row>
    <x:row r="15">
      <x:c r="A15" s="22"/>
      <x:c r="B15" s="22"/>
      <x:c r="C15" s="22"/>
      <x:c r="D15" s="22"/>
      <x:c r="E15" s="22"/>
      <x:c r="F15" s="28"/>
      <x:c r="G15" s="24"/>
      <x:c r="H15" s="26"/>
      <x:c r="I15" s="22"/>
      <x:c r="J15" s="22"/>
      <x:c r="K15" s="22"/>
      <x:c r="L15" s="34" t="n">
        <x:f>IF(OR(G15="",I15=""),0,IF(E15="0%",G15/I15,-PMT(H15/12,I15,G15)))</x:f>
        <x:v>0</x:v>
      </x:c>
      <x:c r="M15" s="34" t="n">
        <x:f>MAX(0,G15-SUMIFS(Debt_Payments!$F:$F,Debt_Payments!$C:$C,A15,Debt_Payments!$H:$H,"POSTED"))</x:f>
        <x:v>0</x:v>
      </x:c>
      <x:c r="N15" s="28"/>
      <x:c r="O15" s="22"/>
      <x:c r="P15" s="22"/>
      <x:c r="Q15" s="22"/>
    </x:row>
    <x:row r="16">
      <x:c r="A16" s="22"/>
      <x:c r="B16" s="22"/>
      <x:c r="C16" s="22"/>
      <x:c r="D16" s="22"/>
      <x:c r="E16" s="22"/>
      <x:c r="F16" s="28"/>
      <x:c r="G16" s="24"/>
      <x:c r="H16" s="26"/>
      <x:c r="I16" s="22"/>
      <x:c r="J16" s="22"/>
      <x:c r="K16" s="22"/>
      <x:c r="L16" s="34" t="n">
        <x:f>IF(OR(G16="",I16=""),0,IF(E16="0%",G16/I16,-PMT(H16/12,I16,G16)))</x:f>
        <x:v>0</x:v>
      </x:c>
      <x:c r="M16" s="34" t="n">
        <x:f>MAX(0,G16-SUMIFS(Debt_Payments!$F:$F,Debt_Payments!$C:$C,A16,Debt_Payments!$H:$H,"POSTED"))</x:f>
        <x:v>0</x:v>
      </x:c>
      <x:c r="N16" s="28"/>
      <x:c r="O16" s="22"/>
      <x:c r="P16" s="22"/>
      <x:c r="Q16" s="22"/>
    </x:row>
    <x:row r="17">
      <x:c r="A17" s="22"/>
      <x:c r="B17" s="22"/>
      <x:c r="C17" s="22"/>
      <x:c r="D17" s="22"/>
      <x:c r="E17" s="22"/>
      <x:c r="F17" s="28"/>
      <x:c r="G17" s="24"/>
      <x:c r="H17" s="26"/>
      <x:c r="I17" s="22"/>
      <x:c r="J17" s="22"/>
      <x:c r="K17" s="22"/>
      <x:c r="L17" s="34" t="n">
        <x:f>IF(OR(G17="",I17=""),0,IF(E17="0%",G17/I17,-PMT(H17/12,I17,G17)))</x:f>
        <x:v>0</x:v>
      </x:c>
      <x:c r="M17" s="34" t="n">
        <x:f>MAX(0,G17-SUMIFS(Debt_Payments!$F:$F,Debt_Payments!$C:$C,A17,Debt_Payments!$H:$H,"POSTED"))</x:f>
        <x:v>0</x:v>
      </x:c>
      <x:c r="N17" s="28"/>
      <x:c r="O17" s="22"/>
      <x:c r="P17" s="22"/>
      <x:c r="Q17" s="22"/>
    </x:row>
    <x:row r="18">
      <x:c r="A18" s="22"/>
      <x:c r="B18" s="22"/>
      <x:c r="C18" s="22"/>
      <x:c r="D18" s="22"/>
      <x:c r="E18" s="22"/>
      <x:c r="F18" s="28"/>
      <x:c r="G18" s="24"/>
      <x:c r="H18" s="26"/>
      <x:c r="I18" s="22"/>
      <x:c r="J18" s="22"/>
      <x:c r="K18" s="22"/>
      <x:c r="L18" s="34" t="n">
        <x:f>IF(OR(G18="",I18=""),0,IF(E18="0%",G18/I18,-PMT(H18/12,I18,G18)))</x:f>
        <x:v>0</x:v>
      </x:c>
      <x:c r="M18" s="34" t="n">
        <x:f>MAX(0,G18-SUMIFS(Debt_Payments!$F:$F,Debt_Payments!$C:$C,A18,Debt_Payments!$H:$H,"POSTED"))</x:f>
        <x:v>0</x:v>
      </x:c>
      <x:c r="N18" s="28"/>
      <x:c r="O18" s="22"/>
      <x:c r="P18" s="22"/>
      <x:c r="Q18" s="22"/>
    </x:row>
    <x:row r="19">
      <x:c r="A19" s="22"/>
      <x:c r="B19" s="22"/>
      <x:c r="C19" s="22"/>
      <x:c r="D19" s="22"/>
      <x:c r="E19" s="22"/>
      <x:c r="F19" s="28"/>
      <x:c r="G19" s="24"/>
      <x:c r="H19" s="26"/>
      <x:c r="I19" s="22"/>
      <x:c r="J19" s="22"/>
      <x:c r="K19" s="22"/>
      <x:c r="L19" s="34" t="n">
        <x:f>IF(OR(G19="",I19=""),0,IF(E19="0%",G19/I19,-PMT(H19/12,I19,G19)))</x:f>
        <x:v>0</x:v>
      </x:c>
      <x:c r="M19" s="34" t="n">
        <x:f>MAX(0,G19-SUMIFS(Debt_Payments!$F:$F,Debt_Payments!$C:$C,A19,Debt_Payments!$H:$H,"POSTED"))</x:f>
        <x:v>0</x:v>
      </x:c>
      <x:c r="N19" s="28"/>
      <x:c r="O19" s="22"/>
      <x:c r="P19" s="22"/>
      <x:c r="Q19" s="22"/>
    </x:row>
    <x:row r="20">
      <x:c r="A20" s="22"/>
      <x:c r="B20" s="22"/>
      <x:c r="C20" s="22"/>
      <x:c r="D20" s="22"/>
      <x:c r="E20" s="22"/>
      <x:c r="F20" s="28"/>
      <x:c r="G20" s="24"/>
      <x:c r="H20" s="26"/>
      <x:c r="I20" s="22"/>
      <x:c r="J20" s="22"/>
      <x:c r="K20" s="22"/>
      <x:c r="L20" s="34" t="n">
        <x:f>IF(OR(G20="",I20=""),0,IF(E20="0%",G20/I20,-PMT(H20/12,I20,G20)))</x:f>
        <x:v>0</x:v>
      </x:c>
      <x:c r="M20" s="34" t="n">
        <x:f>MAX(0,G20-SUMIFS(Debt_Payments!$F:$F,Debt_Payments!$C:$C,A20,Debt_Payments!$H:$H,"POSTED"))</x:f>
        <x:v>0</x:v>
      </x:c>
      <x:c r="N20" s="28"/>
      <x:c r="O20" s="22"/>
      <x:c r="P20" s="22"/>
      <x:c r="Q20" s="22"/>
    </x:row>
    <x:row r="21">
      <x:c r="A21" s="22"/>
      <x:c r="B21" s="22"/>
      <x:c r="C21" s="22"/>
      <x:c r="D21" s="22"/>
      <x:c r="E21" s="22"/>
      <x:c r="F21" s="28"/>
      <x:c r="G21" s="24"/>
      <x:c r="H21" s="26"/>
      <x:c r="I21" s="22"/>
      <x:c r="J21" s="22"/>
      <x:c r="K21" s="22"/>
      <x:c r="L21" s="34" t="n">
        <x:f>IF(OR(G21="",I21=""),0,IF(E21="0%",G21/I21,-PMT(H21/12,I21,G21)))</x:f>
        <x:v>0</x:v>
      </x:c>
      <x:c r="M21" s="34" t="n">
        <x:f>MAX(0,G21-SUMIFS(Debt_Payments!$F:$F,Debt_Payments!$C:$C,A21,Debt_Payments!$H:$H,"POSTED"))</x:f>
        <x:v>0</x:v>
      </x:c>
      <x:c r="N21" s="28"/>
      <x:c r="O21" s="22"/>
      <x:c r="P21" s="22"/>
      <x:c r="Q21" s="22"/>
    </x:row>
    <x:row r="22">
      <x:c r="A22" s="22"/>
      <x:c r="B22" s="22"/>
      <x:c r="C22" s="22"/>
      <x:c r="D22" s="22"/>
      <x:c r="E22" s="22"/>
      <x:c r="F22" s="28"/>
      <x:c r="G22" s="24"/>
      <x:c r="H22" s="26"/>
      <x:c r="I22" s="22"/>
      <x:c r="J22" s="22"/>
      <x:c r="K22" s="22"/>
      <x:c r="L22" s="34" t="n">
        <x:f>IF(OR(G22="",I22=""),0,IF(E22="0%",G22/I22,-PMT(H22/12,I22,G22)))</x:f>
        <x:v>0</x:v>
      </x:c>
      <x:c r="M22" s="34" t="n">
        <x:f>MAX(0,G22-SUMIFS(Debt_Payments!$F:$F,Debt_Payments!$C:$C,A22,Debt_Payments!$H:$H,"POSTED"))</x:f>
        <x:v>0</x:v>
      </x:c>
      <x:c r="N22" s="28"/>
      <x:c r="O22" s="22"/>
      <x:c r="P22" s="22"/>
      <x:c r="Q22" s="22"/>
    </x:row>
    <x:row r="23">
      <x:c r="A23" s="22"/>
      <x:c r="B23" s="22"/>
      <x:c r="C23" s="22"/>
      <x:c r="D23" s="22"/>
      <x:c r="E23" s="22"/>
      <x:c r="F23" s="28"/>
      <x:c r="G23" s="24"/>
      <x:c r="H23" s="26"/>
      <x:c r="I23" s="22"/>
      <x:c r="J23" s="22"/>
      <x:c r="K23" s="22"/>
      <x:c r="L23" s="34" t="n">
        <x:f>IF(OR(G23="",I23=""),0,IF(E23="0%",G23/I23,-PMT(H23/12,I23,G23)))</x:f>
        <x:v>0</x:v>
      </x:c>
      <x:c r="M23" s="34" t="n">
        <x:f>MAX(0,G23-SUMIFS(Debt_Payments!$F:$F,Debt_Payments!$C:$C,A23,Debt_Payments!$H:$H,"POSTED"))</x:f>
        <x:v>0</x:v>
      </x:c>
      <x:c r="N23" s="28"/>
      <x:c r="O23" s="22"/>
      <x:c r="P23" s="22"/>
      <x:c r="Q23" s="22"/>
    </x:row>
    <x:row r="24">
      <x:c r="A24" s="22"/>
      <x:c r="B24" s="22"/>
      <x:c r="C24" s="22"/>
      <x:c r="D24" s="22"/>
      <x:c r="E24" s="22"/>
      <x:c r="F24" s="28"/>
      <x:c r="G24" s="24"/>
      <x:c r="H24" s="26"/>
      <x:c r="I24" s="22"/>
      <x:c r="J24" s="22"/>
      <x:c r="K24" s="22"/>
      <x:c r="L24" s="34" t="n">
        <x:f>IF(OR(G24="",I24=""),0,IF(E24="0%",G24/I24,-PMT(H24/12,I24,G24)))</x:f>
        <x:v>0</x:v>
      </x:c>
      <x:c r="M24" s="34" t="n">
        <x:f>MAX(0,G24-SUMIFS(Debt_Payments!$F:$F,Debt_Payments!$C:$C,A24,Debt_Payments!$H:$H,"POSTED"))</x:f>
        <x:v>0</x:v>
      </x:c>
      <x:c r="N24" s="28"/>
      <x:c r="O24" s="22"/>
      <x:c r="P24" s="22"/>
      <x:c r="Q24" s="22"/>
    </x:row>
    <x:row r="25">
      <x:c r="A25" s="22"/>
      <x:c r="B25" s="22"/>
      <x:c r="C25" s="22"/>
      <x:c r="D25" s="22"/>
      <x:c r="E25" s="22"/>
      <x:c r="F25" s="28"/>
      <x:c r="G25" s="24"/>
      <x:c r="H25" s="26"/>
      <x:c r="I25" s="22"/>
      <x:c r="J25" s="22"/>
      <x:c r="K25" s="22"/>
      <x:c r="L25" s="34" t="n">
        <x:f>IF(OR(G25="",I25=""),0,IF(E25="0%",G25/I25,-PMT(H25/12,I25,G25)))</x:f>
        <x:v>0</x:v>
      </x:c>
      <x:c r="M25" s="34" t="n">
        <x:f>MAX(0,G25-SUMIFS(Debt_Payments!$F:$F,Debt_Payments!$C:$C,A25,Debt_Payments!$H:$H,"POSTED"))</x:f>
        <x:v>0</x:v>
      </x:c>
      <x:c r="N25" s="28"/>
      <x:c r="O25" s="22"/>
      <x:c r="P25" s="22"/>
      <x:c r="Q25" s="22"/>
    </x:row>
    <x:row r="26">
      <x:c r="A26" s="22"/>
      <x:c r="B26" s="22"/>
      <x:c r="C26" s="22"/>
      <x:c r="D26" s="22"/>
      <x:c r="E26" s="22"/>
      <x:c r="F26" s="28"/>
      <x:c r="G26" s="24"/>
      <x:c r="H26" s="26"/>
      <x:c r="I26" s="22"/>
      <x:c r="J26" s="22"/>
      <x:c r="K26" s="22"/>
      <x:c r="L26" s="34" t="n">
        <x:f>IF(OR(G26="",I26=""),0,IF(E26="0%",G26/I26,-PMT(H26/12,I26,G26)))</x:f>
        <x:v>0</x:v>
      </x:c>
      <x:c r="M26" s="34" t="n">
        <x:f>MAX(0,G26-SUMIFS(Debt_Payments!$F:$F,Debt_Payments!$C:$C,A26,Debt_Payments!$H:$H,"POSTED"))</x:f>
        <x:v>0</x:v>
      </x:c>
      <x:c r="N26" s="28"/>
      <x:c r="O26" s="22"/>
      <x:c r="P26" s="22"/>
      <x:c r="Q26" s="22"/>
    </x:row>
    <x:row r="27">
      <x:c r="A27" s="22"/>
      <x:c r="B27" s="22"/>
      <x:c r="C27" s="22"/>
      <x:c r="D27" s="22"/>
      <x:c r="E27" s="22"/>
      <x:c r="F27" s="28"/>
      <x:c r="G27" s="24"/>
      <x:c r="H27" s="26"/>
      <x:c r="I27" s="22"/>
      <x:c r="J27" s="22"/>
      <x:c r="K27" s="22"/>
      <x:c r="L27" s="34" t="n">
        <x:f>IF(OR(G27="",I27=""),0,IF(E27="0%",G27/I27,-PMT(H27/12,I27,G27)))</x:f>
        <x:v>0</x:v>
      </x:c>
      <x:c r="M27" s="34" t="n">
        <x:f>MAX(0,G27-SUMIFS(Debt_Payments!$F:$F,Debt_Payments!$C:$C,A27,Debt_Payments!$H:$H,"POSTED"))</x:f>
        <x:v>0</x:v>
      </x:c>
      <x:c r="N27" s="28"/>
      <x:c r="O27" s="22"/>
      <x:c r="P27" s="22"/>
      <x:c r="Q27" s="22"/>
    </x:row>
    <x:row r="28">
      <x:c r="A28" s="22"/>
      <x:c r="B28" s="22"/>
      <x:c r="C28" s="22"/>
      <x:c r="D28" s="22"/>
      <x:c r="E28" s="22"/>
      <x:c r="F28" s="28"/>
      <x:c r="G28" s="24"/>
      <x:c r="H28" s="26"/>
      <x:c r="I28" s="22"/>
      <x:c r="J28" s="22"/>
      <x:c r="K28" s="22"/>
      <x:c r="L28" s="34" t="n">
        <x:f>IF(OR(G28="",I28=""),0,IF(E28="0%",G28/I28,-PMT(H28/12,I28,G28)))</x:f>
        <x:v>0</x:v>
      </x:c>
      <x:c r="M28" s="34" t="n">
        <x:f>MAX(0,G28-SUMIFS(Debt_Payments!$F:$F,Debt_Payments!$C:$C,A28,Debt_Payments!$H:$H,"POSTED"))</x:f>
        <x:v>0</x:v>
      </x:c>
      <x:c r="N28" s="28"/>
      <x:c r="O28" s="22"/>
      <x:c r="P28" s="22"/>
      <x:c r="Q28" s="22"/>
    </x:row>
    <x:row r="29">
      <x:c r="A29" s="22"/>
      <x:c r="B29" s="22"/>
      <x:c r="C29" s="22"/>
      <x:c r="D29" s="22"/>
      <x:c r="E29" s="22"/>
      <x:c r="F29" s="28"/>
      <x:c r="G29" s="24"/>
      <x:c r="H29" s="26"/>
      <x:c r="I29" s="22"/>
      <x:c r="J29" s="22"/>
      <x:c r="K29" s="22"/>
      <x:c r="L29" s="34" t="n">
        <x:f>IF(OR(G29="",I29=""),0,IF(E29="0%",G29/I29,-PMT(H29/12,I29,G29)))</x:f>
        <x:v>0</x:v>
      </x:c>
      <x:c r="M29" s="34" t="n">
        <x:f>MAX(0,G29-SUMIFS(Debt_Payments!$F:$F,Debt_Payments!$C:$C,A29,Debt_Payments!$H:$H,"POSTED"))</x:f>
        <x:v>0</x:v>
      </x:c>
      <x:c r="N29" s="28"/>
      <x:c r="O29" s="22"/>
      <x:c r="P29" s="22"/>
      <x:c r="Q29" s="22"/>
    </x:row>
    <x:row r="30">
      <x:c r="A30" s="22"/>
      <x:c r="B30" s="22"/>
      <x:c r="C30" s="22"/>
      <x:c r="D30" s="22"/>
      <x:c r="E30" s="22"/>
      <x:c r="F30" s="28"/>
      <x:c r="G30" s="24"/>
      <x:c r="H30" s="26"/>
      <x:c r="I30" s="22"/>
      <x:c r="J30" s="22"/>
      <x:c r="K30" s="22"/>
      <x:c r="L30" s="34" t="n">
        <x:f>IF(OR(G30="",I30=""),0,IF(E30="0%",G30/I30,-PMT(H30/12,I30,G30)))</x:f>
        <x:v>0</x:v>
      </x:c>
      <x:c r="M30" s="34" t="n">
        <x:f>MAX(0,G30-SUMIFS(Debt_Payments!$F:$F,Debt_Payments!$C:$C,A30,Debt_Payments!$H:$H,"POSTED"))</x:f>
        <x:v>0</x:v>
      </x:c>
      <x:c r="N30" s="28"/>
      <x:c r="O30" s="22"/>
      <x:c r="P30" s="22"/>
      <x:c r="Q30" s="22"/>
    </x:row>
    <x:row r="31">
      <x:c r="A31" s="22"/>
      <x:c r="B31" s="22"/>
      <x:c r="C31" s="22"/>
      <x:c r="D31" s="22"/>
      <x:c r="E31" s="22"/>
      <x:c r="F31" s="28"/>
      <x:c r="G31" s="24"/>
      <x:c r="H31" s="26"/>
      <x:c r="I31" s="22"/>
      <x:c r="J31" s="22"/>
      <x:c r="K31" s="22"/>
      <x:c r="L31" s="34" t="n">
        <x:f>IF(OR(G31="",I31=""),0,IF(E31="0%",G31/I31,-PMT(H31/12,I31,G31)))</x:f>
        <x:v>0</x:v>
      </x:c>
      <x:c r="M31" s="34" t="n">
        <x:f>MAX(0,G31-SUMIFS(Debt_Payments!$F:$F,Debt_Payments!$C:$C,A31,Debt_Payments!$H:$H,"POSTED"))</x:f>
        <x:v>0</x:v>
      </x:c>
      <x:c r="N31" s="28"/>
      <x:c r="O31" s="22"/>
      <x:c r="P31" s="22"/>
      <x:c r="Q31" s="22"/>
    </x:row>
    <x:row r="32">
      <x:c r="A32" s="22"/>
      <x:c r="B32" s="22"/>
      <x:c r="C32" s="22"/>
      <x:c r="D32" s="22"/>
      <x:c r="E32" s="22"/>
      <x:c r="F32" s="28"/>
      <x:c r="G32" s="24"/>
      <x:c r="H32" s="26"/>
      <x:c r="I32" s="22"/>
      <x:c r="J32" s="22"/>
      <x:c r="K32" s="22"/>
      <x:c r="L32" s="34" t="n">
        <x:f>IF(OR(G32="",I32=""),0,IF(E32="0%",G32/I32,-PMT(H32/12,I32,G32)))</x:f>
        <x:v>0</x:v>
      </x:c>
      <x:c r="M32" s="34" t="n">
        <x:f>MAX(0,G32-SUMIFS(Debt_Payments!$F:$F,Debt_Payments!$C:$C,A32,Debt_Payments!$H:$H,"POSTED"))</x:f>
        <x:v>0</x:v>
      </x:c>
      <x:c r="N32" s="28"/>
      <x:c r="O32" s="22"/>
      <x:c r="P32" s="22"/>
      <x:c r="Q32" s="22"/>
    </x:row>
    <x:row r="33">
      <x:c r="A33" s="22"/>
      <x:c r="B33" s="22"/>
      <x:c r="C33" s="22"/>
      <x:c r="D33" s="22"/>
      <x:c r="E33" s="22"/>
      <x:c r="F33" s="28"/>
      <x:c r="G33" s="24"/>
      <x:c r="H33" s="26"/>
      <x:c r="I33" s="22"/>
      <x:c r="J33" s="22"/>
      <x:c r="K33" s="22"/>
      <x:c r="L33" s="34" t="n">
        <x:f>IF(OR(G33="",I33=""),0,IF(E33="0%",G33/I33,-PMT(H33/12,I33,G33)))</x:f>
        <x:v>0</x:v>
      </x:c>
      <x:c r="M33" s="34" t="n">
        <x:f>MAX(0,G33-SUMIFS(Debt_Payments!$F:$F,Debt_Payments!$C:$C,A33,Debt_Payments!$H:$H,"POSTED"))</x:f>
        <x:v>0</x:v>
      </x:c>
      <x:c r="N33" s="28"/>
      <x:c r="O33" s="22"/>
      <x:c r="P33" s="22"/>
      <x:c r="Q33" s="22"/>
    </x:row>
    <x:row r="34">
      <x:c r="A34" s="22"/>
      <x:c r="B34" s="22"/>
      <x:c r="C34" s="22"/>
      <x:c r="D34" s="22"/>
      <x:c r="E34" s="22"/>
      <x:c r="F34" s="28"/>
      <x:c r="G34" s="24"/>
      <x:c r="H34" s="26"/>
      <x:c r="I34" s="22"/>
      <x:c r="J34" s="22"/>
      <x:c r="K34" s="22"/>
      <x:c r="L34" s="34" t="n">
        <x:f>IF(OR(G34="",I34=""),0,IF(E34="0%",G34/I34,-PMT(H34/12,I34,G34)))</x:f>
        <x:v>0</x:v>
      </x:c>
      <x:c r="M34" s="34" t="n">
        <x:f>MAX(0,G34-SUMIFS(Debt_Payments!$F:$F,Debt_Payments!$C:$C,A34,Debt_Payments!$H:$H,"POSTED"))</x:f>
        <x:v>0</x:v>
      </x:c>
      <x:c r="N34" s="28"/>
      <x:c r="O34" s="22"/>
      <x:c r="P34" s="22"/>
      <x:c r="Q34" s="22"/>
    </x:row>
    <x:row r="35">
      <x:c r="A35" s="22"/>
      <x:c r="B35" s="22"/>
      <x:c r="C35" s="22"/>
      <x:c r="D35" s="22"/>
      <x:c r="E35" s="22"/>
      <x:c r="F35" s="28"/>
      <x:c r="G35" s="24"/>
      <x:c r="H35" s="26"/>
      <x:c r="I35" s="22"/>
      <x:c r="J35" s="22"/>
      <x:c r="K35" s="22"/>
      <x:c r="L35" s="34" t="n">
        <x:f>IF(OR(G35="",I35=""),0,IF(E35="0%",G35/I35,-PMT(H35/12,I35,G35)))</x:f>
        <x:v>0</x:v>
      </x:c>
      <x:c r="M35" s="34" t="n">
        <x:f>MAX(0,G35-SUMIFS(Debt_Payments!$F:$F,Debt_Payments!$C:$C,A35,Debt_Payments!$H:$H,"POSTED"))</x:f>
        <x:v>0</x:v>
      </x:c>
      <x:c r="N35" s="28"/>
      <x:c r="O35" s="22"/>
      <x:c r="P35" s="22"/>
      <x:c r="Q35" s="22"/>
    </x:row>
    <x:row r="36">
      <x:c r="A36" s="22"/>
      <x:c r="B36" s="22"/>
      <x:c r="C36" s="22"/>
      <x:c r="D36" s="22"/>
      <x:c r="E36" s="22"/>
      <x:c r="F36" s="28"/>
      <x:c r="G36" s="24"/>
      <x:c r="H36" s="26"/>
      <x:c r="I36" s="22"/>
      <x:c r="J36" s="22"/>
      <x:c r="K36" s="22"/>
      <x:c r="L36" s="34" t="n">
        <x:f>IF(OR(G36="",I36=""),0,IF(E36="0%",G36/I36,-PMT(H36/12,I36,G36)))</x:f>
        <x:v>0</x:v>
      </x:c>
      <x:c r="M36" s="34" t="n">
        <x:f>MAX(0,G36-SUMIFS(Debt_Payments!$F:$F,Debt_Payments!$C:$C,A36,Debt_Payments!$H:$H,"POSTED"))</x:f>
        <x:v>0</x:v>
      </x:c>
      <x:c r="N36" s="28"/>
      <x:c r="O36" s="22"/>
      <x:c r="P36" s="22"/>
      <x:c r="Q36" s="22"/>
    </x:row>
    <x:row r="37">
      <x:c r="A37" s="22"/>
      <x:c r="B37" s="22"/>
      <x:c r="C37" s="22"/>
      <x:c r="D37" s="22"/>
      <x:c r="E37" s="22"/>
      <x:c r="F37" s="28"/>
      <x:c r="G37" s="24"/>
      <x:c r="H37" s="26"/>
      <x:c r="I37" s="22"/>
      <x:c r="J37" s="22"/>
      <x:c r="K37" s="22"/>
      <x:c r="L37" s="34" t="n">
        <x:f>IF(OR(G37="",I37=""),0,IF(E37="0%",G37/I37,-PMT(H37/12,I37,G37)))</x:f>
        <x:v>0</x:v>
      </x:c>
      <x:c r="M37" s="34" t="n">
        <x:f>MAX(0,G37-SUMIFS(Debt_Payments!$F:$F,Debt_Payments!$C:$C,A37,Debt_Payments!$H:$H,"POSTED"))</x:f>
        <x:v>0</x:v>
      </x:c>
      <x:c r="N37" s="28"/>
      <x:c r="O37" s="22"/>
      <x:c r="P37" s="22"/>
      <x:c r="Q37" s="22"/>
    </x:row>
    <x:row r="38">
      <x:c r="A38" s="22"/>
      <x:c r="B38" s="22"/>
      <x:c r="C38" s="22"/>
      <x:c r="D38" s="22"/>
      <x:c r="E38" s="22"/>
      <x:c r="F38" s="28"/>
      <x:c r="G38" s="24"/>
      <x:c r="H38" s="26"/>
      <x:c r="I38" s="22"/>
      <x:c r="J38" s="22"/>
      <x:c r="K38" s="22"/>
      <x:c r="L38" s="34" t="n">
        <x:f>IF(OR(G38="",I38=""),0,IF(E38="0%",G38/I38,-PMT(H38/12,I38,G38)))</x:f>
        <x:v>0</x:v>
      </x:c>
      <x:c r="M38" s="34" t="n">
        <x:f>MAX(0,G38-SUMIFS(Debt_Payments!$F:$F,Debt_Payments!$C:$C,A38,Debt_Payments!$H:$H,"POSTED"))</x:f>
        <x:v>0</x:v>
      </x:c>
      <x:c r="N38" s="28"/>
      <x:c r="O38" s="22"/>
      <x:c r="P38" s="22"/>
      <x:c r="Q38" s="22"/>
    </x:row>
    <x:row r="39">
      <x:c r="A39" s="22"/>
      <x:c r="B39" s="22"/>
      <x:c r="C39" s="22"/>
      <x:c r="D39" s="22"/>
      <x:c r="E39" s="22"/>
      <x:c r="F39" s="28"/>
      <x:c r="G39" s="24"/>
      <x:c r="H39" s="26"/>
      <x:c r="I39" s="22"/>
      <x:c r="J39" s="22"/>
      <x:c r="K39" s="22"/>
      <x:c r="L39" s="34" t="n">
        <x:f>IF(OR(G39="",I39=""),0,IF(E39="0%",G39/I39,-PMT(H39/12,I39,G39)))</x:f>
        <x:v>0</x:v>
      </x:c>
      <x:c r="M39" s="34" t="n">
        <x:f>MAX(0,G39-SUMIFS(Debt_Payments!$F:$F,Debt_Payments!$C:$C,A39,Debt_Payments!$H:$H,"POSTED"))</x:f>
        <x:v>0</x:v>
      </x:c>
      <x:c r="N39" s="28"/>
      <x:c r="O39" s="22"/>
      <x:c r="P39" s="22"/>
      <x:c r="Q39" s="22"/>
    </x:row>
    <x:row r="40">
      <x:c r="A40" s="22"/>
      <x:c r="B40" s="22"/>
      <x:c r="C40" s="22"/>
      <x:c r="D40" s="22"/>
      <x:c r="E40" s="22"/>
      <x:c r="F40" s="28"/>
      <x:c r="G40" s="24"/>
      <x:c r="H40" s="26"/>
      <x:c r="I40" s="22"/>
      <x:c r="J40" s="22"/>
      <x:c r="K40" s="22"/>
      <x:c r="L40" s="34" t="n">
        <x:f>IF(OR(G40="",I40=""),0,IF(E40="0%",G40/I40,-PMT(H40/12,I40,G40)))</x:f>
        <x:v>0</x:v>
      </x:c>
      <x:c r="M40" s="34" t="n">
        <x:f>MAX(0,G40-SUMIFS(Debt_Payments!$F:$F,Debt_Payments!$C:$C,A40,Debt_Payments!$H:$H,"POSTED"))</x:f>
        <x:v>0</x:v>
      </x:c>
      <x:c r="N40" s="28"/>
      <x:c r="O40" s="22"/>
      <x:c r="P40" s="22"/>
      <x:c r="Q40" s="22"/>
    </x:row>
    <x:row r="41">
      <x:c r="A41" s="22"/>
      <x:c r="B41" s="22"/>
      <x:c r="C41" s="22"/>
      <x:c r="D41" s="22"/>
      <x:c r="E41" s="22"/>
      <x:c r="F41" s="28"/>
      <x:c r="G41" s="24"/>
      <x:c r="H41" s="26"/>
      <x:c r="I41" s="22"/>
      <x:c r="J41" s="22"/>
      <x:c r="K41" s="22"/>
      <x:c r="L41" s="34" t="n">
        <x:f>IF(OR(G41="",I41=""),0,IF(E41="0%",G41/I41,-PMT(H41/12,I41,G41)))</x:f>
        <x:v>0</x:v>
      </x:c>
      <x:c r="M41" s="34" t="n">
        <x:f>MAX(0,G41-SUMIFS(Debt_Payments!$F:$F,Debt_Payments!$C:$C,A41,Debt_Payments!$H:$H,"POSTED"))</x:f>
        <x:v>0</x:v>
      </x:c>
      <x:c r="N41" s="28"/>
      <x:c r="O41" s="22"/>
      <x:c r="P41" s="22"/>
      <x:c r="Q41" s="22"/>
    </x:row>
    <x:row r="42">
      <x:c r="A42" s="22"/>
      <x:c r="B42" s="22"/>
      <x:c r="C42" s="22"/>
      <x:c r="D42" s="22"/>
      <x:c r="E42" s="22"/>
      <x:c r="F42" s="28"/>
      <x:c r="G42" s="24"/>
      <x:c r="H42" s="26"/>
      <x:c r="I42" s="22"/>
      <x:c r="J42" s="22"/>
      <x:c r="K42" s="22"/>
      <x:c r="L42" s="34" t="n">
        <x:f>IF(OR(G42="",I42=""),0,IF(E42="0%",G42/I42,-PMT(H42/12,I42,G42)))</x:f>
        <x:v>0</x:v>
      </x:c>
      <x:c r="M42" s="34" t="n">
        <x:f>MAX(0,G42-SUMIFS(Debt_Payments!$F:$F,Debt_Payments!$C:$C,A42,Debt_Payments!$H:$H,"POSTED"))</x:f>
        <x:v>0</x:v>
      </x:c>
      <x:c r="N42" s="28"/>
      <x:c r="O42" s="22"/>
      <x:c r="P42" s="22"/>
      <x:c r="Q42" s="22"/>
    </x:row>
    <x:row r="43">
      <x:c r="A43" s="22"/>
      <x:c r="B43" s="22"/>
      <x:c r="C43" s="22"/>
      <x:c r="D43" s="22"/>
      <x:c r="E43" s="22"/>
      <x:c r="F43" s="28"/>
      <x:c r="G43" s="24"/>
      <x:c r="H43" s="26"/>
      <x:c r="I43" s="22"/>
      <x:c r="J43" s="22"/>
      <x:c r="K43" s="22"/>
      <x:c r="L43" s="34" t="n">
        <x:f>IF(OR(G43="",I43=""),0,IF(E43="0%",G43/I43,-PMT(H43/12,I43,G43)))</x:f>
        <x:v>0</x:v>
      </x:c>
      <x:c r="M43" s="34" t="n">
        <x:f>MAX(0,G43-SUMIFS(Debt_Payments!$F:$F,Debt_Payments!$C:$C,A43,Debt_Payments!$H:$H,"POSTED"))</x:f>
        <x:v>0</x:v>
      </x:c>
      <x:c r="N43" s="28"/>
      <x:c r="O43" s="22"/>
      <x:c r="P43" s="22"/>
      <x:c r="Q43" s="22"/>
    </x:row>
    <x:row r="44">
      <x:c r="A44" s="22"/>
      <x:c r="B44" s="22"/>
      <x:c r="C44" s="22"/>
      <x:c r="D44" s="22"/>
      <x:c r="E44" s="22"/>
      <x:c r="F44" s="28"/>
      <x:c r="G44" s="24"/>
      <x:c r="H44" s="26"/>
      <x:c r="I44" s="22"/>
      <x:c r="J44" s="22"/>
      <x:c r="K44" s="22"/>
      <x:c r="L44" s="34" t="n">
        <x:f>IF(OR(G44="",I44=""),0,IF(E44="0%",G44/I44,-PMT(H44/12,I44,G44)))</x:f>
        <x:v>0</x:v>
      </x:c>
      <x:c r="M44" s="34" t="n">
        <x:f>MAX(0,G44-SUMIFS(Debt_Payments!$F:$F,Debt_Payments!$C:$C,A44,Debt_Payments!$H:$H,"POSTED"))</x:f>
        <x:v>0</x:v>
      </x:c>
      <x:c r="N44" s="28"/>
      <x:c r="O44" s="22"/>
      <x:c r="P44" s="22"/>
      <x:c r="Q44" s="22"/>
    </x:row>
    <x:row r="45">
      <x:c r="A45" s="22"/>
      <x:c r="B45" s="22"/>
      <x:c r="C45" s="22"/>
      <x:c r="D45" s="22"/>
      <x:c r="E45" s="22"/>
      <x:c r="F45" s="28"/>
      <x:c r="G45" s="24"/>
      <x:c r="H45" s="26"/>
      <x:c r="I45" s="22"/>
      <x:c r="J45" s="22"/>
      <x:c r="K45" s="22"/>
      <x:c r="L45" s="34" t="n">
        <x:f>IF(OR(G45="",I45=""),0,IF(E45="0%",G45/I45,-PMT(H45/12,I45,G45)))</x:f>
        <x:v>0</x:v>
      </x:c>
      <x:c r="M45" s="34" t="n">
        <x:f>MAX(0,G45-SUMIFS(Debt_Payments!$F:$F,Debt_Payments!$C:$C,A45,Debt_Payments!$H:$H,"POSTED"))</x:f>
        <x:v>0</x:v>
      </x:c>
      <x:c r="N45" s="28"/>
      <x:c r="O45" s="22"/>
      <x:c r="P45" s="22"/>
      <x:c r="Q45" s="22"/>
    </x:row>
    <x:row r="46">
      <x:c r="A46" s="22"/>
      <x:c r="B46" s="22"/>
      <x:c r="C46" s="22"/>
      <x:c r="D46" s="22"/>
      <x:c r="E46" s="22"/>
      <x:c r="F46" s="28"/>
      <x:c r="G46" s="24"/>
      <x:c r="H46" s="26"/>
      <x:c r="I46" s="22"/>
      <x:c r="J46" s="22"/>
      <x:c r="K46" s="22"/>
      <x:c r="L46" s="34" t="n">
        <x:f>IF(OR(G46="",I46=""),0,IF(E46="0%",G46/I46,-PMT(H46/12,I46,G46)))</x:f>
        <x:v>0</x:v>
      </x:c>
      <x:c r="M46" s="34" t="n">
        <x:f>MAX(0,G46-SUMIFS(Debt_Payments!$F:$F,Debt_Payments!$C:$C,A46,Debt_Payments!$H:$H,"POSTED"))</x:f>
        <x:v>0</x:v>
      </x:c>
      <x:c r="N46" s="28"/>
      <x:c r="O46" s="22"/>
      <x:c r="P46" s="22"/>
      <x:c r="Q46" s="22"/>
    </x:row>
    <x:row r="47">
      <x:c r="A47" s="22"/>
      <x:c r="B47" s="22"/>
      <x:c r="C47" s="22"/>
      <x:c r="D47" s="22"/>
      <x:c r="E47" s="22"/>
      <x:c r="F47" s="28"/>
      <x:c r="G47" s="24"/>
      <x:c r="H47" s="26"/>
      <x:c r="I47" s="22"/>
      <x:c r="J47" s="22"/>
      <x:c r="K47" s="22"/>
      <x:c r="L47" s="34" t="n">
        <x:f>IF(OR(G47="",I47=""),0,IF(E47="0%",G47/I47,-PMT(H47/12,I47,G47)))</x:f>
        <x:v>0</x:v>
      </x:c>
      <x:c r="M47" s="34" t="n">
        <x:f>MAX(0,G47-SUMIFS(Debt_Payments!$F:$F,Debt_Payments!$C:$C,A47,Debt_Payments!$H:$H,"POSTED"))</x:f>
        <x:v>0</x:v>
      </x:c>
      <x:c r="N47" s="28"/>
      <x:c r="O47" s="22"/>
      <x:c r="P47" s="22"/>
      <x:c r="Q47" s="22"/>
    </x:row>
    <x:row r="48">
      <x:c r="A48" s="22"/>
      <x:c r="B48" s="22"/>
      <x:c r="C48" s="22"/>
      <x:c r="D48" s="22"/>
      <x:c r="E48" s="22"/>
      <x:c r="F48" s="28"/>
      <x:c r="G48" s="24"/>
      <x:c r="H48" s="26"/>
      <x:c r="I48" s="22"/>
      <x:c r="J48" s="22"/>
      <x:c r="K48" s="22"/>
      <x:c r="L48" s="34" t="n">
        <x:f>IF(OR(G48="",I48=""),0,IF(E48="0%",G48/I48,-PMT(H48/12,I48,G48)))</x:f>
        <x:v>0</x:v>
      </x:c>
      <x:c r="M48" s="34" t="n">
        <x:f>MAX(0,G48-SUMIFS(Debt_Payments!$F:$F,Debt_Payments!$C:$C,A48,Debt_Payments!$H:$H,"POSTED"))</x:f>
        <x:v>0</x:v>
      </x:c>
      <x:c r="N48" s="28"/>
      <x:c r="O48" s="22"/>
      <x:c r="P48" s="22"/>
      <x:c r="Q48" s="22"/>
    </x:row>
    <x:row r="49">
      <x:c r="A49" s="22"/>
      <x:c r="B49" s="22"/>
      <x:c r="C49" s="22"/>
      <x:c r="D49" s="22"/>
      <x:c r="E49" s="22"/>
      <x:c r="F49" s="28"/>
      <x:c r="G49" s="24"/>
      <x:c r="H49" s="26"/>
      <x:c r="I49" s="22"/>
      <x:c r="J49" s="22"/>
      <x:c r="K49" s="22"/>
      <x:c r="L49" s="34" t="n">
        <x:f>IF(OR(G49="",I49=""),0,IF(E49="0%",G49/I49,-PMT(H49/12,I49,G49)))</x:f>
        <x:v>0</x:v>
      </x:c>
      <x:c r="M49" s="34" t="n">
        <x:f>MAX(0,G49-SUMIFS(Debt_Payments!$F:$F,Debt_Payments!$C:$C,A49,Debt_Payments!$H:$H,"POSTED"))</x:f>
        <x:v>0</x:v>
      </x:c>
      <x:c r="N49" s="28"/>
      <x:c r="O49" s="22"/>
      <x:c r="P49" s="22"/>
      <x:c r="Q49" s="22"/>
    </x:row>
    <x:row r="50">
      <x:c r="A50" s="22"/>
      <x:c r="B50" s="22"/>
      <x:c r="C50" s="22"/>
      <x:c r="D50" s="22"/>
      <x:c r="E50" s="22"/>
      <x:c r="F50" s="28"/>
      <x:c r="G50" s="24"/>
      <x:c r="H50" s="26"/>
      <x:c r="I50" s="22"/>
      <x:c r="J50" s="22"/>
      <x:c r="K50" s="22"/>
      <x:c r="L50" s="34" t="n">
        <x:f>IF(OR(G50="",I50=""),0,IF(E50="0%",G50/I50,-PMT(H50/12,I50,G50)))</x:f>
        <x:v>0</x:v>
      </x:c>
      <x:c r="M50" s="34" t="n">
        <x:f>MAX(0,G50-SUMIFS(Debt_Payments!$F:$F,Debt_Payments!$C:$C,A50,Debt_Payments!$H:$H,"POSTED"))</x:f>
        <x:v>0</x:v>
      </x:c>
      <x:c r="N50" s="28"/>
      <x:c r="O50" s="22"/>
      <x:c r="P50" s="22"/>
      <x:c r="Q50" s="22"/>
    </x:row>
    <x:row r="51">
      <x:c r="A51" s="22"/>
      <x:c r="B51" s="22"/>
      <x:c r="C51" s="22"/>
      <x:c r="D51" s="22"/>
      <x:c r="E51" s="22"/>
      <x:c r="F51" s="28"/>
      <x:c r="G51" s="24"/>
      <x:c r="H51" s="26"/>
      <x:c r="I51" s="22"/>
      <x:c r="J51" s="22"/>
      <x:c r="K51" s="22"/>
      <x:c r="L51" s="34" t="n">
        <x:f>IF(OR(G51="",I51=""),0,IF(E51="0%",G51/I51,-PMT(H51/12,I51,G51)))</x:f>
        <x:v>0</x:v>
      </x:c>
      <x:c r="M51" s="34" t="n">
        <x:f>MAX(0,G51-SUMIFS(Debt_Payments!$F:$F,Debt_Payments!$C:$C,A51,Debt_Payments!$H:$H,"POSTED"))</x:f>
        <x:v>0</x:v>
      </x:c>
      <x:c r="N51" s="28"/>
      <x:c r="O51" s="22"/>
      <x:c r="P51" s="22"/>
      <x:c r="Q51" s="22"/>
    </x:row>
    <x:row r="52">
      <x:c r="A52" s="22"/>
      <x:c r="B52" s="22"/>
      <x:c r="C52" s="22"/>
      <x:c r="D52" s="22"/>
      <x:c r="E52" s="22"/>
      <x:c r="F52" s="28"/>
      <x:c r="G52" s="24"/>
      <x:c r="H52" s="26"/>
      <x:c r="I52" s="22"/>
      <x:c r="J52" s="22"/>
      <x:c r="K52" s="22"/>
      <x:c r="L52" s="34" t="n">
        <x:f>IF(OR(G52="",I52=""),0,IF(E52="0%",G52/I52,-PMT(H52/12,I52,G52)))</x:f>
        <x:v>0</x:v>
      </x:c>
      <x:c r="M52" s="34" t="n">
        <x:f>MAX(0,G52-SUMIFS(Debt_Payments!$F:$F,Debt_Payments!$C:$C,A52,Debt_Payments!$H:$H,"POSTED"))</x:f>
        <x:v>0</x:v>
      </x:c>
      <x:c r="N52" s="28"/>
      <x:c r="O52" s="22"/>
      <x:c r="P52" s="22"/>
      <x:c r="Q52" s="22"/>
    </x:row>
    <x:row r="53">
      <x:c r="A53" s="22"/>
      <x:c r="B53" s="22"/>
      <x:c r="C53" s="22"/>
      <x:c r="D53" s="22"/>
      <x:c r="E53" s="22"/>
      <x:c r="F53" s="28"/>
      <x:c r="G53" s="24"/>
      <x:c r="H53" s="26"/>
      <x:c r="I53" s="22"/>
      <x:c r="J53" s="22"/>
      <x:c r="K53" s="22"/>
      <x:c r="L53" s="34" t="n">
        <x:f>IF(OR(G53="",I53=""),0,IF(E53="0%",G53/I53,-PMT(H53/12,I53,G53)))</x:f>
        <x:v>0</x:v>
      </x:c>
      <x:c r="M53" s="34" t="n">
        <x:f>MAX(0,G53-SUMIFS(Debt_Payments!$F:$F,Debt_Payments!$C:$C,A53,Debt_Payments!$H:$H,"POSTED"))</x:f>
        <x:v>0</x:v>
      </x:c>
      <x:c r="N53" s="28"/>
      <x:c r="O53" s="22"/>
      <x:c r="P53" s="22"/>
      <x:c r="Q53" s="22"/>
    </x:row>
    <x:row r="54">
      <x:c r="A54" s="22"/>
      <x:c r="B54" s="22"/>
      <x:c r="C54" s="22"/>
      <x:c r="D54" s="22"/>
      <x:c r="E54" s="22"/>
      <x:c r="F54" s="28"/>
      <x:c r="G54" s="24"/>
      <x:c r="H54" s="26"/>
      <x:c r="I54" s="22"/>
      <x:c r="J54" s="22"/>
      <x:c r="K54" s="22"/>
      <x:c r="L54" s="34" t="n">
        <x:f>IF(OR(G54="",I54=""),0,IF(E54="0%",G54/I54,-PMT(H54/12,I54,G54)))</x:f>
        <x:v>0</x:v>
      </x:c>
      <x:c r="M54" s="34" t="n">
        <x:f>MAX(0,G54-SUMIFS(Debt_Payments!$F:$F,Debt_Payments!$C:$C,A54,Debt_Payments!$H:$H,"POSTED"))</x:f>
        <x:v>0</x:v>
      </x:c>
      <x:c r="N54" s="28"/>
      <x:c r="O54" s="22"/>
      <x:c r="P54" s="22"/>
      <x:c r="Q54" s="22"/>
    </x:row>
    <x:row r="55">
      <x:c r="A55" s="22"/>
      <x:c r="B55" s="22"/>
      <x:c r="C55" s="22"/>
      <x:c r="D55" s="22"/>
      <x:c r="E55" s="22"/>
      <x:c r="F55" s="28"/>
      <x:c r="G55" s="24"/>
      <x:c r="H55" s="26"/>
      <x:c r="I55" s="22"/>
      <x:c r="J55" s="22"/>
      <x:c r="K55" s="22"/>
      <x:c r="L55" s="34" t="n">
        <x:f>IF(OR(G55="",I55=""),0,IF(E55="0%",G55/I55,-PMT(H55/12,I55,G55)))</x:f>
        <x:v>0</x:v>
      </x:c>
      <x:c r="M55" s="34" t="n">
        <x:f>MAX(0,G55-SUMIFS(Debt_Payments!$F:$F,Debt_Payments!$C:$C,A55,Debt_Payments!$H:$H,"POSTED"))</x:f>
        <x:v>0</x:v>
      </x:c>
      <x:c r="N55" s="28"/>
      <x:c r="O55" s="22"/>
      <x:c r="P55" s="22"/>
      <x:c r="Q55" s="22"/>
    </x:row>
    <x:row r="56">
      <x:c r="A56" s="22"/>
      <x:c r="B56" s="22"/>
      <x:c r="C56" s="22"/>
      <x:c r="D56" s="22"/>
      <x:c r="E56" s="22"/>
      <x:c r="F56" s="28"/>
      <x:c r="G56" s="24"/>
      <x:c r="H56" s="26"/>
      <x:c r="I56" s="22"/>
      <x:c r="J56" s="22"/>
      <x:c r="K56" s="22"/>
      <x:c r="L56" s="34" t="n">
        <x:f>IF(OR(G56="",I56=""),0,IF(E56="0%",G56/I56,-PMT(H56/12,I56,G56)))</x:f>
        <x:v>0</x:v>
      </x:c>
      <x:c r="M56" s="34" t="n">
        <x:f>MAX(0,G56-SUMIFS(Debt_Payments!$F:$F,Debt_Payments!$C:$C,A56,Debt_Payments!$H:$H,"POSTED"))</x:f>
        <x:v>0</x:v>
      </x:c>
      <x:c r="N56" s="28"/>
      <x:c r="O56" s="22"/>
      <x:c r="P56" s="22"/>
      <x:c r="Q56" s="22"/>
    </x:row>
    <x:row r="57">
      <x:c r="A57" s="22"/>
      <x:c r="B57" s="22"/>
      <x:c r="C57" s="22"/>
      <x:c r="D57" s="22"/>
      <x:c r="E57" s="22"/>
      <x:c r="F57" s="28"/>
      <x:c r="G57" s="24"/>
      <x:c r="H57" s="26"/>
      <x:c r="I57" s="22"/>
      <x:c r="J57" s="22"/>
      <x:c r="K57" s="22"/>
      <x:c r="L57" s="34" t="n">
        <x:f>IF(OR(G57="",I57=""),0,IF(E57="0%",G57/I57,-PMT(H57/12,I57,G57)))</x:f>
        <x:v>0</x:v>
      </x:c>
      <x:c r="M57" s="34" t="n">
        <x:f>MAX(0,G57-SUMIFS(Debt_Payments!$F:$F,Debt_Payments!$C:$C,A57,Debt_Payments!$H:$H,"POSTED"))</x:f>
        <x:v>0</x:v>
      </x:c>
      <x:c r="N57" s="28"/>
      <x:c r="O57" s="22"/>
      <x:c r="P57" s="22"/>
      <x:c r="Q57" s="22"/>
    </x:row>
    <x:row r="58">
      <x:c r="A58" s="22"/>
      <x:c r="B58" s="22"/>
      <x:c r="C58" s="22"/>
      <x:c r="D58" s="22"/>
      <x:c r="E58" s="22"/>
      <x:c r="F58" s="28"/>
      <x:c r="G58" s="24"/>
      <x:c r="H58" s="26"/>
      <x:c r="I58" s="22"/>
      <x:c r="J58" s="22"/>
      <x:c r="K58" s="22"/>
      <x:c r="L58" s="34" t="n">
        <x:f>IF(OR(G58="",I58=""),0,IF(E58="0%",G58/I58,-PMT(H58/12,I58,G58)))</x:f>
        <x:v>0</x:v>
      </x:c>
      <x:c r="M58" s="34" t="n">
        <x:f>MAX(0,G58-SUMIFS(Debt_Payments!$F:$F,Debt_Payments!$C:$C,A58,Debt_Payments!$H:$H,"POSTED"))</x:f>
        <x:v>0</x:v>
      </x:c>
      <x:c r="N58" s="28"/>
      <x:c r="O58" s="22"/>
      <x:c r="P58" s="22"/>
      <x:c r="Q58" s="22"/>
    </x:row>
    <x:row r="59">
      <x:c r="A59" s="22"/>
      <x:c r="B59" s="22"/>
      <x:c r="C59" s="22"/>
      <x:c r="D59" s="22"/>
      <x:c r="E59" s="22"/>
      <x:c r="F59" s="28"/>
      <x:c r="G59" s="24"/>
      <x:c r="H59" s="26"/>
      <x:c r="I59" s="22"/>
      <x:c r="J59" s="22"/>
      <x:c r="K59" s="22"/>
      <x:c r="L59" s="34" t="n">
        <x:f>IF(OR(G59="",I59=""),0,IF(E59="0%",G59/I59,-PMT(H59/12,I59,G59)))</x:f>
        <x:v>0</x:v>
      </x:c>
      <x:c r="M59" s="34" t="n">
        <x:f>MAX(0,G59-SUMIFS(Debt_Payments!$F:$F,Debt_Payments!$C:$C,A59,Debt_Payments!$H:$H,"POSTED"))</x:f>
        <x:v>0</x:v>
      </x:c>
      <x:c r="N59" s="28"/>
      <x:c r="O59" s="22"/>
      <x:c r="P59" s="22"/>
      <x:c r="Q59" s="22"/>
    </x:row>
    <x:row r="60">
      <x:c r="A60" s="22"/>
      <x:c r="B60" s="22"/>
      <x:c r="C60" s="22"/>
      <x:c r="D60" s="22"/>
      <x:c r="E60" s="22"/>
      <x:c r="F60" s="28"/>
      <x:c r="G60" s="24"/>
      <x:c r="H60" s="26"/>
      <x:c r="I60" s="22"/>
      <x:c r="J60" s="22"/>
      <x:c r="K60" s="22"/>
      <x:c r="L60" s="34" t="n">
        <x:f>IF(OR(G60="",I60=""),0,IF(E60="0%",G60/I60,-PMT(H60/12,I60,G60)))</x:f>
        <x:v>0</x:v>
      </x:c>
      <x:c r="M60" s="34" t="n">
        <x:f>MAX(0,G60-SUMIFS(Debt_Payments!$F:$F,Debt_Payments!$C:$C,A60,Debt_Payments!$H:$H,"POSTED"))</x:f>
        <x:v>0</x:v>
      </x:c>
      <x:c r="N60" s="28"/>
      <x:c r="O60" s="22"/>
      <x:c r="P60" s="22"/>
      <x:c r="Q60" s="22"/>
    </x:row>
    <x:row r="61">
      <x:c r="A61" s="22"/>
      <x:c r="B61" s="22"/>
      <x:c r="C61" s="22"/>
      <x:c r="D61" s="22"/>
      <x:c r="E61" s="22"/>
      <x:c r="F61" s="28"/>
      <x:c r="G61" s="24"/>
      <x:c r="H61" s="26"/>
      <x:c r="I61" s="22"/>
      <x:c r="J61" s="22"/>
      <x:c r="K61" s="22"/>
      <x:c r="L61" s="34" t="n">
        <x:f>IF(OR(G61="",I61=""),0,IF(E61="0%",G61/I61,-PMT(H61/12,I61,G61)))</x:f>
        <x:v>0</x:v>
      </x:c>
      <x:c r="M61" s="34" t="n">
        <x:f>MAX(0,G61-SUMIFS(Debt_Payments!$F:$F,Debt_Payments!$C:$C,A61,Debt_Payments!$H:$H,"POSTED"))</x:f>
        <x:v>0</x:v>
      </x:c>
      <x:c r="N61" s="28"/>
      <x:c r="O61" s="22"/>
      <x:c r="P61" s="22"/>
      <x:c r="Q61" s="22"/>
    </x:row>
    <x:row r="62">
      <x:c r="A62" s="22"/>
      <x:c r="B62" s="22"/>
      <x:c r="C62" s="22"/>
      <x:c r="D62" s="22"/>
      <x:c r="E62" s="22"/>
      <x:c r="F62" s="28"/>
      <x:c r="G62" s="24"/>
      <x:c r="H62" s="26"/>
      <x:c r="I62" s="22"/>
      <x:c r="J62" s="22"/>
      <x:c r="K62" s="22"/>
      <x:c r="L62" s="34" t="n">
        <x:f>IF(OR(G62="",I62=""),0,IF(E62="0%",G62/I62,-PMT(H62/12,I62,G62)))</x:f>
        <x:v>0</x:v>
      </x:c>
      <x:c r="M62" s="34" t="n">
        <x:f>MAX(0,G62-SUMIFS(Debt_Payments!$F:$F,Debt_Payments!$C:$C,A62,Debt_Payments!$H:$H,"POSTED"))</x:f>
        <x:v>0</x:v>
      </x:c>
      <x:c r="N62" s="28"/>
      <x:c r="O62" s="22"/>
      <x:c r="P62" s="22"/>
      <x:c r="Q62" s="22"/>
    </x:row>
    <x:row r="63">
      <x:c r="A63" s="22"/>
      <x:c r="B63" s="22"/>
      <x:c r="C63" s="22"/>
      <x:c r="D63" s="22"/>
      <x:c r="E63" s="22"/>
      <x:c r="F63" s="28"/>
      <x:c r="G63" s="24"/>
      <x:c r="H63" s="26"/>
      <x:c r="I63" s="22"/>
      <x:c r="J63" s="22"/>
      <x:c r="K63" s="22"/>
      <x:c r="L63" s="34" t="n">
        <x:f>IF(OR(G63="",I63=""),0,IF(E63="0%",G63/I63,-PMT(H63/12,I63,G63)))</x:f>
        <x:v>0</x:v>
      </x:c>
      <x:c r="M63" s="34" t="n">
        <x:f>MAX(0,G63-SUMIFS(Debt_Payments!$F:$F,Debt_Payments!$C:$C,A63,Debt_Payments!$H:$H,"POSTED"))</x:f>
        <x:v>0</x:v>
      </x:c>
      <x:c r="N63" s="28"/>
      <x:c r="O63" s="22"/>
      <x:c r="P63" s="22"/>
      <x:c r="Q63" s="22"/>
    </x:row>
    <x:row r="64">
      <x:c r="A64" s="22"/>
      <x:c r="B64" s="22"/>
      <x:c r="C64" s="22"/>
      <x:c r="D64" s="22"/>
      <x:c r="E64" s="22"/>
      <x:c r="F64" s="28"/>
      <x:c r="G64" s="24"/>
      <x:c r="H64" s="26"/>
      <x:c r="I64" s="22"/>
      <x:c r="J64" s="22"/>
      <x:c r="K64" s="22"/>
      <x:c r="L64" s="34" t="n">
        <x:f>IF(OR(G64="",I64=""),0,IF(E64="0%",G64/I64,-PMT(H64/12,I64,G64)))</x:f>
        <x:v>0</x:v>
      </x:c>
      <x:c r="M64" s="34" t="n">
        <x:f>MAX(0,G64-SUMIFS(Debt_Payments!$F:$F,Debt_Payments!$C:$C,A64,Debt_Payments!$H:$H,"POSTED"))</x:f>
        <x:v>0</x:v>
      </x:c>
      <x:c r="N64" s="28"/>
      <x:c r="O64" s="22"/>
      <x:c r="P64" s="22"/>
      <x:c r="Q64" s="22"/>
    </x:row>
    <x:row r="65">
      <x:c r="A65" s="22"/>
      <x:c r="B65" s="22"/>
      <x:c r="C65" s="22"/>
      <x:c r="D65" s="22"/>
      <x:c r="E65" s="22"/>
      <x:c r="F65" s="28"/>
      <x:c r="G65" s="24"/>
      <x:c r="H65" s="26"/>
      <x:c r="I65" s="22"/>
      <x:c r="J65" s="22"/>
      <x:c r="K65" s="22"/>
      <x:c r="L65" s="34" t="n">
        <x:f>IF(OR(G65="",I65=""),0,IF(E65="0%",G65/I65,-PMT(H65/12,I65,G65)))</x:f>
        <x:v>0</x:v>
      </x:c>
      <x:c r="M65" s="34" t="n">
        <x:f>MAX(0,G65-SUMIFS(Debt_Payments!$F:$F,Debt_Payments!$C:$C,A65,Debt_Payments!$H:$H,"POSTED"))</x:f>
        <x:v>0</x:v>
      </x:c>
      <x:c r="N65" s="28"/>
      <x:c r="O65" s="22"/>
      <x:c r="P65" s="22"/>
      <x:c r="Q65" s="22"/>
    </x:row>
    <x:row r="66">
      <x:c r="A66" s="22"/>
      <x:c r="B66" s="22"/>
      <x:c r="C66" s="22"/>
      <x:c r="D66" s="22"/>
      <x:c r="E66" s="22"/>
      <x:c r="F66" s="28"/>
      <x:c r="G66" s="24"/>
      <x:c r="H66" s="26"/>
      <x:c r="I66" s="22"/>
      <x:c r="J66" s="22"/>
      <x:c r="K66" s="22"/>
      <x:c r="L66" s="34" t="n">
        <x:f>IF(OR(G66="",I66=""),0,IF(E66="0%",G66/I66,-PMT(H66/12,I66,G66)))</x:f>
        <x:v>0</x:v>
      </x:c>
      <x:c r="M66" s="34" t="n">
        <x:f>MAX(0,G66-SUMIFS(Debt_Payments!$F:$F,Debt_Payments!$C:$C,A66,Debt_Payments!$H:$H,"POSTED"))</x:f>
        <x:v>0</x:v>
      </x:c>
      <x:c r="N66" s="28"/>
      <x:c r="O66" s="22"/>
      <x:c r="P66" s="22"/>
      <x:c r="Q66" s="22"/>
    </x:row>
    <x:row r="67">
      <x:c r="A67" s="22"/>
      <x:c r="B67" s="22"/>
      <x:c r="C67" s="22"/>
      <x:c r="D67" s="22"/>
      <x:c r="E67" s="22"/>
      <x:c r="F67" s="28"/>
      <x:c r="G67" s="24"/>
      <x:c r="H67" s="26"/>
      <x:c r="I67" s="22"/>
      <x:c r="J67" s="22"/>
      <x:c r="K67" s="22"/>
      <x:c r="L67" s="34" t="n">
        <x:f>IF(OR(G67="",I67=""),0,IF(E67="0%",G67/I67,-PMT(H67/12,I67,G67)))</x:f>
        <x:v>0</x:v>
      </x:c>
      <x:c r="M67" s="34" t="n">
        <x:f>MAX(0,G67-SUMIFS(Debt_Payments!$F:$F,Debt_Payments!$C:$C,A67,Debt_Payments!$H:$H,"POSTED"))</x:f>
        <x:v>0</x:v>
      </x:c>
      <x:c r="N67" s="28"/>
      <x:c r="O67" s="22"/>
      <x:c r="P67" s="22"/>
      <x:c r="Q67" s="22"/>
    </x:row>
    <x:row r="68">
      <x:c r="A68" s="22"/>
      <x:c r="B68" s="22"/>
      <x:c r="C68" s="22"/>
      <x:c r="D68" s="22"/>
      <x:c r="E68" s="22"/>
      <x:c r="F68" s="28"/>
      <x:c r="G68" s="24"/>
      <x:c r="H68" s="26"/>
      <x:c r="I68" s="22"/>
      <x:c r="J68" s="22"/>
      <x:c r="K68" s="22"/>
      <x:c r="L68" s="34" t="n">
        <x:f>IF(OR(G68="",I68=""),0,IF(E68="0%",G68/I68,-PMT(H68/12,I68,G68)))</x:f>
        <x:v>0</x:v>
      </x:c>
      <x:c r="M68" s="34" t="n">
        <x:f>MAX(0,G68-SUMIFS(Debt_Payments!$F:$F,Debt_Payments!$C:$C,A68,Debt_Payments!$H:$H,"POSTED"))</x:f>
        <x:v>0</x:v>
      </x:c>
      <x:c r="N68" s="28"/>
      <x:c r="O68" s="22"/>
      <x:c r="P68" s="22"/>
      <x:c r="Q68" s="22"/>
    </x:row>
    <x:row r="69">
      <x:c r="A69" s="22"/>
      <x:c r="B69" s="22"/>
      <x:c r="C69" s="22"/>
      <x:c r="D69" s="22"/>
      <x:c r="E69" s="22"/>
      <x:c r="F69" s="28"/>
      <x:c r="G69" s="24"/>
      <x:c r="H69" s="26"/>
      <x:c r="I69" s="22"/>
      <x:c r="J69" s="22"/>
      <x:c r="K69" s="22"/>
      <x:c r="L69" s="34" t="n">
        <x:f>IF(OR(G69="",I69=""),0,IF(E69="0%",G69/I69,-PMT(H69/12,I69,G69)))</x:f>
        <x:v>0</x:v>
      </x:c>
      <x:c r="M69" s="34" t="n">
        <x:f>MAX(0,G69-SUMIFS(Debt_Payments!$F:$F,Debt_Payments!$C:$C,A69,Debt_Payments!$H:$H,"POSTED"))</x:f>
        <x:v>0</x:v>
      </x:c>
      <x:c r="N69" s="28"/>
      <x:c r="O69" s="22"/>
      <x:c r="P69" s="22"/>
      <x:c r="Q69" s="22"/>
    </x:row>
    <x:row r="70">
      <x:c r="A70" s="22"/>
      <x:c r="B70" s="22"/>
      <x:c r="C70" s="22"/>
      <x:c r="D70" s="22"/>
      <x:c r="E70" s="22"/>
      <x:c r="F70" s="28"/>
      <x:c r="G70" s="24"/>
      <x:c r="H70" s="26"/>
      <x:c r="I70" s="22"/>
      <x:c r="J70" s="22"/>
      <x:c r="K70" s="22"/>
      <x:c r="L70" s="34" t="n">
        <x:f>IF(OR(G70="",I70=""),0,IF(E70="0%",G70/I70,-PMT(H70/12,I70,G70)))</x:f>
        <x:v>0</x:v>
      </x:c>
      <x:c r="M70" s="34" t="n">
        <x:f>MAX(0,G70-SUMIFS(Debt_Payments!$F:$F,Debt_Payments!$C:$C,A70,Debt_Payments!$H:$H,"POSTED"))</x:f>
        <x:v>0</x:v>
      </x:c>
      <x:c r="N70" s="28"/>
      <x:c r="O70" s="22"/>
      <x:c r="P70" s="22"/>
      <x:c r="Q70" s="22"/>
    </x:row>
    <x:row r="71">
      <x:c r="A71" s="22"/>
      <x:c r="B71" s="22"/>
      <x:c r="C71" s="22"/>
      <x:c r="D71" s="22"/>
      <x:c r="E71" s="22"/>
      <x:c r="F71" s="28"/>
      <x:c r="G71" s="24"/>
      <x:c r="H71" s="26"/>
      <x:c r="I71" s="22"/>
      <x:c r="J71" s="22"/>
      <x:c r="K71" s="22"/>
      <x:c r="L71" s="34" t="n">
        <x:f>IF(OR(G71="",I71=""),0,IF(E71="0%",G71/I71,-PMT(H71/12,I71,G71)))</x:f>
        <x:v>0</x:v>
      </x:c>
      <x:c r="M71" s="34" t="n">
        <x:f>MAX(0,G71-SUMIFS(Debt_Payments!$F:$F,Debt_Payments!$C:$C,A71,Debt_Payments!$H:$H,"POSTED"))</x:f>
        <x:v>0</x:v>
      </x:c>
      <x:c r="N71" s="28"/>
      <x:c r="O71" s="22"/>
      <x:c r="P71" s="22"/>
      <x:c r="Q71" s="22"/>
    </x:row>
    <x:row r="72">
      <x:c r="A72" s="22"/>
      <x:c r="B72" s="22"/>
      <x:c r="C72" s="22"/>
      <x:c r="D72" s="22"/>
      <x:c r="E72" s="22"/>
      <x:c r="F72" s="28"/>
      <x:c r="G72" s="24"/>
      <x:c r="H72" s="26"/>
      <x:c r="I72" s="22"/>
      <x:c r="J72" s="22"/>
      <x:c r="K72" s="22"/>
      <x:c r="L72" s="34" t="n">
        <x:f>IF(OR(G72="",I72=""),0,IF(E72="0%",G72/I72,-PMT(H72/12,I72,G72)))</x:f>
        <x:v>0</x:v>
      </x:c>
      <x:c r="M72" s="34" t="n">
        <x:f>MAX(0,G72-SUMIFS(Debt_Payments!$F:$F,Debt_Payments!$C:$C,A72,Debt_Payments!$H:$H,"POSTED"))</x:f>
        <x:v>0</x:v>
      </x:c>
      <x:c r="N72" s="28"/>
      <x:c r="O72" s="22"/>
      <x:c r="P72" s="22"/>
      <x:c r="Q72" s="22"/>
    </x:row>
    <x:row r="73">
      <x:c r="A73" s="22"/>
      <x:c r="B73" s="22"/>
      <x:c r="C73" s="22"/>
      <x:c r="D73" s="22"/>
      <x:c r="E73" s="22"/>
      <x:c r="F73" s="28"/>
      <x:c r="G73" s="24"/>
      <x:c r="H73" s="26"/>
      <x:c r="I73" s="22"/>
      <x:c r="J73" s="22"/>
      <x:c r="K73" s="22"/>
      <x:c r="L73" s="34" t="n">
        <x:f>IF(OR(G73="",I73=""),0,IF(E73="0%",G73/I73,-PMT(H73/12,I73,G73)))</x:f>
        <x:v>0</x:v>
      </x:c>
      <x:c r="M73" s="34" t="n">
        <x:f>MAX(0,G73-SUMIFS(Debt_Payments!$F:$F,Debt_Payments!$C:$C,A73,Debt_Payments!$H:$H,"POSTED"))</x:f>
        <x:v>0</x:v>
      </x:c>
      <x:c r="N73" s="28"/>
      <x:c r="O73" s="22"/>
      <x:c r="P73" s="22"/>
      <x:c r="Q73" s="22"/>
    </x:row>
    <x:row r="74">
      <x:c r="A74" s="22"/>
      <x:c r="B74" s="22"/>
      <x:c r="C74" s="22"/>
      <x:c r="D74" s="22"/>
      <x:c r="E74" s="22"/>
      <x:c r="F74" s="28"/>
      <x:c r="G74" s="24"/>
      <x:c r="H74" s="26"/>
      <x:c r="I74" s="22"/>
      <x:c r="J74" s="22"/>
      <x:c r="K74" s="22"/>
      <x:c r="L74" s="34" t="n">
        <x:f>IF(OR(G74="",I74=""),0,IF(E74="0%",G74/I74,-PMT(H74/12,I74,G74)))</x:f>
        <x:v>0</x:v>
      </x:c>
      <x:c r="M74" s="34" t="n">
        <x:f>MAX(0,G74-SUMIFS(Debt_Payments!$F:$F,Debt_Payments!$C:$C,A74,Debt_Payments!$H:$H,"POSTED"))</x:f>
        <x:v>0</x:v>
      </x:c>
      <x:c r="N74" s="28"/>
      <x:c r="O74" s="22"/>
      <x:c r="P74" s="22"/>
      <x:c r="Q74" s="22"/>
    </x:row>
    <x:row r="75">
      <x:c r="A75" s="22"/>
      <x:c r="B75" s="22"/>
      <x:c r="C75" s="22"/>
      <x:c r="D75" s="22"/>
      <x:c r="E75" s="22"/>
      <x:c r="F75" s="28"/>
      <x:c r="G75" s="24"/>
      <x:c r="H75" s="26"/>
      <x:c r="I75" s="22"/>
      <x:c r="J75" s="22"/>
      <x:c r="K75" s="22"/>
      <x:c r="L75" s="34" t="n">
        <x:f>IF(OR(G75="",I75=""),0,IF(E75="0%",G75/I75,-PMT(H75/12,I75,G75)))</x:f>
        <x:v>0</x:v>
      </x:c>
      <x:c r="M75" s="34" t="n">
        <x:f>MAX(0,G75-SUMIFS(Debt_Payments!$F:$F,Debt_Payments!$C:$C,A75,Debt_Payments!$H:$H,"POSTED"))</x:f>
        <x:v>0</x:v>
      </x:c>
      <x:c r="N75" s="28"/>
      <x:c r="O75" s="22"/>
      <x:c r="P75" s="22"/>
      <x:c r="Q75" s="22"/>
    </x:row>
    <x:row r="76">
      <x:c r="A76" s="22"/>
      <x:c r="B76" s="22"/>
      <x:c r="C76" s="22"/>
      <x:c r="D76" s="22"/>
      <x:c r="E76" s="22"/>
      <x:c r="F76" s="28"/>
      <x:c r="G76" s="24"/>
      <x:c r="H76" s="26"/>
      <x:c r="I76" s="22"/>
      <x:c r="J76" s="22"/>
      <x:c r="K76" s="22"/>
      <x:c r="L76" s="34" t="n">
        <x:f>IF(OR(G76="",I76=""),0,IF(E76="0%",G76/I76,-PMT(H76/12,I76,G76)))</x:f>
        <x:v>0</x:v>
      </x:c>
      <x:c r="M76" s="34" t="n">
        <x:f>MAX(0,G76-SUMIFS(Debt_Payments!$F:$F,Debt_Payments!$C:$C,A76,Debt_Payments!$H:$H,"POSTED"))</x:f>
        <x:v>0</x:v>
      </x:c>
      <x:c r="N76" s="28"/>
      <x:c r="O76" s="22"/>
      <x:c r="P76" s="22"/>
      <x:c r="Q76" s="22"/>
    </x:row>
    <x:row r="77">
      <x:c r="A77" s="22"/>
      <x:c r="B77" s="22"/>
      <x:c r="C77" s="22"/>
      <x:c r="D77" s="22"/>
      <x:c r="E77" s="22"/>
      <x:c r="F77" s="28"/>
      <x:c r="G77" s="24"/>
      <x:c r="H77" s="26"/>
      <x:c r="I77" s="22"/>
      <x:c r="J77" s="22"/>
      <x:c r="K77" s="22"/>
      <x:c r="L77" s="34" t="n">
        <x:f>IF(OR(G77="",I77=""),0,IF(E77="0%",G77/I77,-PMT(H77/12,I77,G77)))</x:f>
        <x:v>0</x:v>
      </x:c>
      <x:c r="M77" s="34" t="n">
        <x:f>MAX(0,G77-SUMIFS(Debt_Payments!$F:$F,Debt_Payments!$C:$C,A77,Debt_Payments!$H:$H,"POSTED"))</x:f>
        <x:v>0</x:v>
      </x:c>
      <x:c r="N77" s="28"/>
      <x:c r="O77" s="22"/>
      <x:c r="P77" s="22"/>
      <x:c r="Q77" s="22"/>
    </x:row>
    <x:row r="78">
      <x:c r="A78" s="22"/>
      <x:c r="B78" s="22"/>
      <x:c r="C78" s="22"/>
      <x:c r="D78" s="22"/>
      <x:c r="E78" s="22"/>
      <x:c r="F78" s="28"/>
      <x:c r="G78" s="24"/>
      <x:c r="H78" s="26"/>
      <x:c r="I78" s="22"/>
      <x:c r="J78" s="22"/>
      <x:c r="K78" s="22"/>
      <x:c r="L78" s="34" t="n">
        <x:f>IF(OR(G78="",I78=""),0,IF(E78="0%",G78/I78,-PMT(H78/12,I78,G78)))</x:f>
        <x:v>0</x:v>
      </x:c>
      <x:c r="M78" s="34" t="n">
        <x:f>MAX(0,G78-SUMIFS(Debt_Payments!$F:$F,Debt_Payments!$C:$C,A78,Debt_Payments!$H:$H,"POSTED"))</x:f>
        <x:v>0</x:v>
      </x:c>
      <x:c r="N78" s="28"/>
      <x:c r="O78" s="22"/>
      <x:c r="P78" s="22"/>
      <x:c r="Q78" s="22"/>
    </x:row>
    <x:row r="79">
      <x:c r="A79" s="22"/>
      <x:c r="B79" s="22"/>
      <x:c r="C79" s="22"/>
      <x:c r="D79" s="22"/>
      <x:c r="E79" s="22"/>
      <x:c r="F79" s="28"/>
      <x:c r="G79" s="24"/>
      <x:c r="H79" s="26"/>
      <x:c r="I79" s="22"/>
      <x:c r="J79" s="22"/>
      <x:c r="K79" s="22"/>
      <x:c r="L79" s="34" t="n">
        <x:f>IF(OR(G79="",I79=""),0,IF(E79="0%",G79/I79,-PMT(H79/12,I79,G79)))</x:f>
        <x:v>0</x:v>
      </x:c>
      <x:c r="M79" s="34" t="n">
        <x:f>MAX(0,G79-SUMIFS(Debt_Payments!$F:$F,Debt_Payments!$C:$C,A79,Debt_Payments!$H:$H,"POSTED"))</x:f>
        <x:v>0</x:v>
      </x:c>
      <x:c r="N79" s="28"/>
      <x:c r="O79" s="22"/>
      <x:c r="P79" s="22"/>
      <x:c r="Q79" s="22"/>
    </x:row>
    <x:row r="80">
      <x:c r="A80" s="22"/>
      <x:c r="B80" s="22"/>
      <x:c r="C80" s="22"/>
      <x:c r="D80" s="22"/>
      <x:c r="E80" s="22"/>
      <x:c r="F80" s="28"/>
      <x:c r="G80" s="24"/>
      <x:c r="H80" s="26"/>
      <x:c r="I80" s="22"/>
      <x:c r="J80" s="22"/>
      <x:c r="K80" s="22"/>
      <x:c r="L80" s="34" t="n">
        <x:f>IF(OR(G80="",I80=""),0,IF(E80="0%",G80/I80,-PMT(H80/12,I80,G80)))</x:f>
        <x:v>0</x:v>
      </x:c>
      <x:c r="M80" s="34" t="n">
        <x:f>MAX(0,G80-SUMIFS(Debt_Payments!$F:$F,Debt_Payments!$C:$C,A80,Debt_Payments!$H:$H,"POSTED"))</x:f>
        <x:v>0</x:v>
      </x:c>
      <x:c r="N80" s="28"/>
      <x:c r="O80" s="22"/>
      <x:c r="P80" s="22"/>
      <x:c r="Q80" s="22"/>
    </x:row>
    <x:row r="81">
      <x:c r="A81" s="22"/>
      <x:c r="B81" s="22"/>
      <x:c r="C81" s="22"/>
      <x:c r="D81" s="22"/>
      <x:c r="E81" s="22"/>
      <x:c r="F81" s="28"/>
      <x:c r="G81" s="24"/>
      <x:c r="H81" s="26"/>
      <x:c r="I81" s="22"/>
      <x:c r="J81" s="22"/>
      <x:c r="K81" s="22"/>
      <x:c r="L81" s="34" t="n">
        <x:f>IF(OR(G81="",I81=""),0,IF(E81="0%",G81/I81,-PMT(H81/12,I81,G81)))</x:f>
        <x:v>0</x:v>
      </x:c>
      <x:c r="M81" s="34" t="n">
        <x:f>MAX(0,G81-SUMIFS(Debt_Payments!$F:$F,Debt_Payments!$C:$C,A81,Debt_Payments!$H:$H,"POSTED"))</x:f>
        <x:v>0</x:v>
      </x:c>
      <x:c r="N81" s="28"/>
      <x:c r="O81" s="22"/>
      <x:c r="P81" s="22"/>
      <x:c r="Q81" s="22"/>
    </x:row>
    <x:row r="82">
      <x:c r="A82" s="22"/>
      <x:c r="B82" s="22"/>
      <x:c r="C82" s="22"/>
      <x:c r="D82" s="22"/>
      <x:c r="E82" s="22"/>
      <x:c r="F82" s="28"/>
      <x:c r="G82" s="24"/>
      <x:c r="H82" s="26"/>
      <x:c r="I82" s="22"/>
      <x:c r="J82" s="22"/>
      <x:c r="K82" s="22"/>
      <x:c r="L82" s="34" t="n">
        <x:f>IF(OR(G82="",I82=""),0,IF(E82="0%",G82/I82,-PMT(H82/12,I82,G82)))</x:f>
        <x:v>0</x:v>
      </x:c>
      <x:c r="M82" s="34" t="n">
        <x:f>MAX(0,G82-SUMIFS(Debt_Payments!$F:$F,Debt_Payments!$C:$C,A82,Debt_Payments!$H:$H,"POSTED"))</x:f>
        <x:v>0</x:v>
      </x:c>
      <x:c r="N82" s="28"/>
      <x:c r="O82" s="22"/>
      <x:c r="P82" s="22"/>
      <x:c r="Q82" s="22"/>
    </x:row>
    <x:row r="83">
      <x:c r="A83" s="22"/>
      <x:c r="B83" s="22"/>
      <x:c r="C83" s="22"/>
      <x:c r="D83" s="22"/>
      <x:c r="E83" s="22"/>
      <x:c r="F83" s="28"/>
      <x:c r="G83" s="24"/>
      <x:c r="H83" s="26"/>
      <x:c r="I83" s="22"/>
      <x:c r="J83" s="22"/>
      <x:c r="K83" s="22"/>
      <x:c r="L83" s="34" t="n">
        <x:f>IF(OR(G83="",I83=""),0,IF(E83="0%",G83/I83,-PMT(H83/12,I83,G83)))</x:f>
        <x:v>0</x:v>
      </x:c>
      <x:c r="M83" s="34" t="n">
        <x:f>MAX(0,G83-SUMIFS(Debt_Payments!$F:$F,Debt_Payments!$C:$C,A83,Debt_Payments!$H:$H,"POSTED"))</x:f>
        <x:v>0</x:v>
      </x:c>
      <x:c r="N83" s="28"/>
      <x:c r="O83" s="22"/>
      <x:c r="P83" s="22"/>
      <x:c r="Q83" s="22"/>
    </x:row>
    <x:row r="84">
      <x:c r="A84" s="22"/>
      <x:c r="B84" s="22"/>
      <x:c r="C84" s="22"/>
      <x:c r="D84" s="22"/>
      <x:c r="E84" s="22"/>
      <x:c r="F84" s="28"/>
      <x:c r="G84" s="24"/>
      <x:c r="H84" s="26"/>
      <x:c r="I84" s="22"/>
      <x:c r="J84" s="22"/>
      <x:c r="K84" s="22"/>
      <x:c r="L84" s="34" t="n">
        <x:f>IF(OR(G84="",I84=""),0,IF(E84="0%",G84/I84,-PMT(H84/12,I84,G84)))</x:f>
        <x:v>0</x:v>
      </x:c>
      <x:c r="M84" s="34" t="n">
        <x:f>MAX(0,G84-SUMIFS(Debt_Payments!$F:$F,Debt_Payments!$C:$C,A84,Debt_Payments!$H:$H,"POSTED"))</x:f>
        <x:v>0</x:v>
      </x:c>
      <x:c r="N84" s="28"/>
      <x:c r="O84" s="22"/>
      <x:c r="P84" s="22"/>
      <x:c r="Q84" s="22"/>
    </x:row>
    <x:row r="85">
      <x:c r="A85" s="22"/>
      <x:c r="B85" s="22"/>
      <x:c r="C85" s="22"/>
      <x:c r="D85" s="22"/>
      <x:c r="E85" s="22"/>
      <x:c r="F85" s="28"/>
      <x:c r="G85" s="24"/>
      <x:c r="H85" s="26"/>
      <x:c r="I85" s="22"/>
      <x:c r="J85" s="22"/>
      <x:c r="K85" s="22"/>
      <x:c r="L85" s="34" t="n">
        <x:f>IF(OR(G85="",I85=""),0,IF(E85="0%",G85/I85,-PMT(H85/12,I85,G85)))</x:f>
        <x:v>0</x:v>
      </x:c>
      <x:c r="M85" s="34" t="n">
        <x:f>MAX(0,G85-SUMIFS(Debt_Payments!$F:$F,Debt_Payments!$C:$C,A85,Debt_Payments!$H:$H,"POSTED"))</x:f>
        <x:v>0</x:v>
      </x:c>
      <x:c r="N85" s="28"/>
      <x:c r="O85" s="22"/>
      <x:c r="P85" s="22"/>
      <x:c r="Q85" s="22"/>
    </x:row>
    <x:row r="86">
      <x:c r="A86" s="22"/>
      <x:c r="B86" s="22"/>
      <x:c r="C86" s="22"/>
      <x:c r="D86" s="22"/>
      <x:c r="E86" s="22"/>
      <x:c r="F86" s="28"/>
      <x:c r="G86" s="24"/>
      <x:c r="H86" s="26"/>
      <x:c r="I86" s="22"/>
      <x:c r="J86" s="22"/>
      <x:c r="K86" s="22"/>
      <x:c r="L86" s="34" t="n">
        <x:f>IF(OR(G86="",I86=""),0,IF(E86="0%",G86/I86,-PMT(H86/12,I86,G86)))</x:f>
        <x:v>0</x:v>
      </x:c>
      <x:c r="M86" s="34" t="n">
        <x:f>MAX(0,G86-SUMIFS(Debt_Payments!$F:$F,Debt_Payments!$C:$C,A86,Debt_Payments!$H:$H,"POSTED"))</x:f>
        <x:v>0</x:v>
      </x:c>
      <x:c r="N86" s="28"/>
      <x:c r="O86" s="22"/>
      <x:c r="P86" s="22"/>
      <x:c r="Q86" s="22"/>
    </x:row>
    <x:row r="87">
      <x:c r="A87" s="22"/>
      <x:c r="B87" s="22"/>
      <x:c r="C87" s="22"/>
      <x:c r="D87" s="22"/>
      <x:c r="E87" s="22"/>
      <x:c r="F87" s="28"/>
      <x:c r="G87" s="24"/>
      <x:c r="H87" s="26"/>
      <x:c r="I87" s="22"/>
      <x:c r="J87" s="22"/>
      <x:c r="K87" s="22"/>
      <x:c r="L87" s="34" t="n">
        <x:f>IF(OR(G87="",I87=""),0,IF(E87="0%",G87/I87,-PMT(H87/12,I87,G87)))</x:f>
        <x:v>0</x:v>
      </x:c>
      <x:c r="M87" s="34" t="n">
        <x:f>MAX(0,G87-SUMIFS(Debt_Payments!$F:$F,Debt_Payments!$C:$C,A87,Debt_Payments!$H:$H,"POSTED"))</x:f>
        <x:v>0</x:v>
      </x:c>
      <x:c r="N87" s="28"/>
      <x:c r="O87" s="22"/>
      <x:c r="P87" s="22"/>
      <x:c r="Q87" s="22"/>
    </x:row>
    <x:row r="88">
      <x:c r="A88" s="22"/>
      <x:c r="B88" s="22"/>
      <x:c r="C88" s="22"/>
      <x:c r="D88" s="22"/>
      <x:c r="E88" s="22"/>
      <x:c r="F88" s="28"/>
      <x:c r="G88" s="24"/>
      <x:c r="H88" s="26"/>
      <x:c r="I88" s="22"/>
      <x:c r="J88" s="22"/>
      <x:c r="K88" s="22"/>
      <x:c r="L88" s="34" t="n">
        <x:f>IF(OR(G88="",I88=""),0,IF(E88="0%",G88/I88,-PMT(H88/12,I88,G88)))</x:f>
        <x:v>0</x:v>
      </x:c>
      <x:c r="M88" s="34" t="n">
        <x:f>MAX(0,G88-SUMIFS(Debt_Payments!$F:$F,Debt_Payments!$C:$C,A88,Debt_Payments!$H:$H,"POSTED"))</x:f>
        <x:v>0</x:v>
      </x:c>
      <x:c r="N88" s="28"/>
      <x:c r="O88" s="22"/>
      <x:c r="P88" s="22"/>
      <x:c r="Q88" s="22"/>
    </x:row>
    <x:row r="89">
      <x:c r="A89" s="22"/>
      <x:c r="B89" s="22"/>
      <x:c r="C89" s="22"/>
      <x:c r="D89" s="22"/>
      <x:c r="E89" s="22"/>
      <x:c r="F89" s="28"/>
      <x:c r="G89" s="24"/>
      <x:c r="H89" s="26"/>
      <x:c r="I89" s="22"/>
      <x:c r="J89" s="22"/>
      <x:c r="K89" s="22"/>
      <x:c r="L89" s="34" t="n">
        <x:f>IF(OR(G89="",I89=""),0,IF(E89="0%",G89/I89,-PMT(H89/12,I89,G89)))</x:f>
        <x:v>0</x:v>
      </x:c>
      <x:c r="M89" s="34" t="n">
        <x:f>MAX(0,G89-SUMIFS(Debt_Payments!$F:$F,Debt_Payments!$C:$C,A89,Debt_Payments!$H:$H,"POSTED"))</x:f>
        <x:v>0</x:v>
      </x:c>
      <x:c r="N89" s="28"/>
      <x:c r="O89" s="22"/>
      <x:c r="P89" s="22"/>
      <x:c r="Q89" s="22"/>
    </x:row>
    <x:row r="90">
      <x:c r="A90" s="22"/>
      <x:c r="B90" s="22"/>
      <x:c r="C90" s="22"/>
      <x:c r="D90" s="22"/>
      <x:c r="E90" s="22"/>
      <x:c r="F90" s="28"/>
      <x:c r="G90" s="24"/>
      <x:c r="H90" s="26"/>
      <x:c r="I90" s="22"/>
      <x:c r="J90" s="22"/>
      <x:c r="K90" s="22"/>
      <x:c r="L90" s="34" t="n">
        <x:f>IF(OR(G90="",I90=""),0,IF(E90="0%",G90/I90,-PMT(H90/12,I90,G90)))</x:f>
        <x:v>0</x:v>
      </x:c>
      <x:c r="M90" s="34" t="n">
        <x:f>MAX(0,G90-SUMIFS(Debt_Payments!$F:$F,Debt_Payments!$C:$C,A90,Debt_Payments!$H:$H,"POSTED"))</x:f>
        <x:v>0</x:v>
      </x:c>
      <x:c r="N90" s="28"/>
      <x:c r="O90" s="22"/>
      <x:c r="P90" s="22"/>
      <x:c r="Q90" s="22"/>
    </x:row>
    <x:row r="91">
      <x:c r="A91" s="22"/>
      <x:c r="B91" s="22"/>
      <x:c r="C91" s="22"/>
      <x:c r="D91" s="22"/>
      <x:c r="E91" s="22"/>
      <x:c r="F91" s="28"/>
      <x:c r="G91" s="24"/>
      <x:c r="H91" s="26"/>
      <x:c r="I91" s="22"/>
      <x:c r="J91" s="22"/>
      <x:c r="K91" s="22"/>
      <x:c r="L91" s="34" t="n">
        <x:f>IF(OR(G91="",I91=""),0,IF(E91="0%",G91/I91,-PMT(H91/12,I91,G91)))</x:f>
        <x:v>0</x:v>
      </x:c>
      <x:c r="M91" s="34" t="n">
        <x:f>MAX(0,G91-SUMIFS(Debt_Payments!$F:$F,Debt_Payments!$C:$C,A91,Debt_Payments!$H:$H,"POSTED"))</x:f>
        <x:v>0</x:v>
      </x:c>
      <x:c r="N91" s="28"/>
      <x:c r="O91" s="22"/>
      <x:c r="P91" s="22"/>
      <x:c r="Q91" s="22"/>
    </x:row>
    <x:row r="92">
      <x:c r="A92" s="22"/>
      <x:c r="B92" s="22"/>
      <x:c r="C92" s="22"/>
      <x:c r="D92" s="22"/>
      <x:c r="E92" s="22"/>
      <x:c r="F92" s="28"/>
      <x:c r="G92" s="24"/>
      <x:c r="H92" s="26"/>
      <x:c r="I92" s="22"/>
      <x:c r="J92" s="22"/>
      <x:c r="K92" s="22"/>
      <x:c r="L92" s="34" t="n">
        <x:f>IF(OR(G92="",I92=""),0,IF(E92="0%",G92/I92,-PMT(H92/12,I92,G92)))</x:f>
        <x:v>0</x:v>
      </x:c>
      <x:c r="M92" s="34" t="n">
        <x:f>MAX(0,G92-SUMIFS(Debt_Payments!$F:$F,Debt_Payments!$C:$C,A92,Debt_Payments!$H:$H,"POSTED"))</x:f>
        <x:v>0</x:v>
      </x:c>
      <x:c r="N92" s="28"/>
      <x:c r="O92" s="22"/>
      <x:c r="P92" s="22"/>
      <x:c r="Q92" s="22"/>
    </x:row>
    <x:row r="93">
      <x:c r="A93" s="22"/>
      <x:c r="B93" s="22"/>
      <x:c r="C93" s="22"/>
      <x:c r="D93" s="22"/>
      <x:c r="E93" s="22"/>
      <x:c r="F93" s="28"/>
      <x:c r="G93" s="24"/>
      <x:c r="H93" s="26"/>
      <x:c r="I93" s="22"/>
      <x:c r="J93" s="22"/>
      <x:c r="K93" s="22"/>
      <x:c r="L93" s="34" t="n">
        <x:f>IF(OR(G93="",I93=""),0,IF(E93="0%",G93/I93,-PMT(H93/12,I93,G93)))</x:f>
        <x:v>0</x:v>
      </x:c>
      <x:c r="M93" s="34" t="n">
        <x:f>MAX(0,G93-SUMIFS(Debt_Payments!$F:$F,Debt_Payments!$C:$C,A93,Debt_Payments!$H:$H,"POSTED"))</x:f>
        <x:v>0</x:v>
      </x:c>
      <x:c r="N93" s="28"/>
      <x:c r="O93" s="22"/>
      <x:c r="P93" s="22"/>
      <x:c r="Q93" s="22"/>
    </x:row>
    <x:row r="94">
      <x:c r="A94" s="22"/>
      <x:c r="B94" s="22"/>
      <x:c r="C94" s="22"/>
      <x:c r="D94" s="22"/>
      <x:c r="E94" s="22"/>
      <x:c r="F94" s="28"/>
      <x:c r="G94" s="24"/>
      <x:c r="H94" s="26"/>
      <x:c r="I94" s="22"/>
      <x:c r="J94" s="22"/>
      <x:c r="K94" s="22"/>
      <x:c r="L94" s="34" t="n">
        <x:f>IF(OR(G94="",I94=""),0,IF(E94="0%",G94/I94,-PMT(H94/12,I94,G94)))</x:f>
        <x:v>0</x:v>
      </x:c>
      <x:c r="M94" s="34" t="n">
        <x:f>MAX(0,G94-SUMIFS(Debt_Payments!$F:$F,Debt_Payments!$C:$C,A94,Debt_Payments!$H:$H,"POSTED"))</x:f>
        <x:v>0</x:v>
      </x:c>
      <x:c r="N94" s="28"/>
      <x:c r="O94" s="22"/>
      <x:c r="P94" s="22"/>
      <x:c r="Q94" s="22"/>
    </x:row>
    <x:row r="95">
      <x:c r="A95" s="22"/>
      <x:c r="B95" s="22"/>
      <x:c r="C95" s="22"/>
      <x:c r="D95" s="22"/>
      <x:c r="E95" s="22"/>
      <x:c r="F95" s="28"/>
      <x:c r="G95" s="24"/>
      <x:c r="H95" s="26"/>
      <x:c r="I95" s="22"/>
      <x:c r="J95" s="22"/>
      <x:c r="K95" s="22"/>
      <x:c r="L95" s="34" t="n">
        <x:f>IF(OR(G95="",I95=""),0,IF(E95="0%",G95/I95,-PMT(H95/12,I95,G95)))</x:f>
        <x:v>0</x:v>
      </x:c>
      <x:c r="M95" s="34" t="n">
        <x:f>MAX(0,G95-SUMIFS(Debt_Payments!$F:$F,Debt_Payments!$C:$C,A95,Debt_Payments!$H:$H,"POSTED"))</x:f>
        <x:v>0</x:v>
      </x:c>
      <x:c r="N95" s="28"/>
      <x:c r="O95" s="22"/>
      <x:c r="P95" s="22"/>
      <x:c r="Q95" s="22"/>
    </x:row>
    <x:row r="96">
      <x:c r="A96" s="22"/>
      <x:c r="B96" s="22"/>
      <x:c r="C96" s="22"/>
      <x:c r="D96" s="22"/>
      <x:c r="E96" s="22"/>
      <x:c r="F96" s="28"/>
      <x:c r="G96" s="24"/>
      <x:c r="H96" s="26"/>
      <x:c r="I96" s="22"/>
      <x:c r="J96" s="22"/>
      <x:c r="K96" s="22"/>
      <x:c r="L96" s="34" t="n">
        <x:f>IF(OR(G96="",I96=""),0,IF(E96="0%",G96/I96,-PMT(H96/12,I96,G96)))</x:f>
        <x:v>0</x:v>
      </x:c>
      <x:c r="M96" s="34" t="n">
        <x:f>MAX(0,G96-SUMIFS(Debt_Payments!$F:$F,Debt_Payments!$C:$C,A96,Debt_Payments!$H:$H,"POSTED"))</x:f>
        <x:v>0</x:v>
      </x:c>
      <x:c r="N96" s="28"/>
      <x:c r="O96" s="22"/>
      <x:c r="P96" s="22"/>
      <x:c r="Q96" s="22"/>
    </x:row>
    <x:row r="97">
      <x:c r="A97" s="22"/>
      <x:c r="B97" s="22"/>
      <x:c r="C97" s="22"/>
      <x:c r="D97" s="22"/>
      <x:c r="E97" s="22"/>
      <x:c r="F97" s="28"/>
      <x:c r="G97" s="24"/>
      <x:c r="H97" s="26"/>
      <x:c r="I97" s="22"/>
      <x:c r="J97" s="22"/>
      <x:c r="K97" s="22"/>
      <x:c r="L97" s="34" t="n">
        <x:f>IF(OR(G97="",I97=""),0,IF(E97="0%",G97/I97,-PMT(H97/12,I97,G97)))</x:f>
        <x:v>0</x:v>
      </x:c>
      <x:c r="M97" s="34" t="n">
        <x:f>MAX(0,G97-SUMIFS(Debt_Payments!$F:$F,Debt_Payments!$C:$C,A97,Debt_Payments!$H:$H,"POSTED"))</x:f>
        <x:v>0</x:v>
      </x:c>
      <x:c r="N97" s="28"/>
      <x:c r="O97" s="22"/>
      <x:c r="P97" s="22"/>
      <x:c r="Q97" s="22"/>
    </x:row>
    <x:row r="98">
      <x:c r="A98" s="22"/>
      <x:c r="B98" s="22"/>
      <x:c r="C98" s="22"/>
      <x:c r="D98" s="22"/>
      <x:c r="E98" s="22"/>
      <x:c r="F98" s="28"/>
      <x:c r="G98" s="24"/>
      <x:c r="H98" s="26"/>
      <x:c r="I98" s="22"/>
      <x:c r="J98" s="22"/>
      <x:c r="K98" s="22"/>
      <x:c r="L98" s="34" t="n">
        <x:f>IF(OR(G98="",I98=""),0,IF(E98="0%",G98/I98,-PMT(H98/12,I98,G98)))</x:f>
        <x:v>0</x:v>
      </x:c>
      <x:c r="M98" s="34" t="n">
        <x:f>MAX(0,G98-SUMIFS(Debt_Payments!$F:$F,Debt_Payments!$C:$C,A98,Debt_Payments!$H:$H,"POSTED"))</x:f>
        <x:v>0</x:v>
      </x:c>
      <x:c r="N98" s="28"/>
      <x:c r="O98" s="22"/>
      <x:c r="P98" s="22"/>
      <x:c r="Q98" s="22"/>
    </x:row>
    <x:row r="99">
      <x:c r="A99" s="22"/>
      <x:c r="B99" s="22"/>
      <x:c r="C99" s="22"/>
      <x:c r="D99" s="22"/>
      <x:c r="E99" s="22"/>
      <x:c r="F99" s="28"/>
      <x:c r="G99" s="24"/>
      <x:c r="H99" s="26"/>
      <x:c r="I99" s="22"/>
      <x:c r="J99" s="22"/>
      <x:c r="K99" s="22"/>
      <x:c r="L99" s="34" t="n">
        <x:f>IF(OR(G99="",I99=""),0,IF(E99="0%",G99/I99,-PMT(H99/12,I99,G99)))</x:f>
        <x:v>0</x:v>
      </x:c>
      <x:c r="M99" s="34" t="n">
        <x:f>MAX(0,G99-SUMIFS(Debt_Payments!$F:$F,Debt_Payments!$C:$C,A99,Debt_Payments!$H:$H,"POSTED"))</x:f>
        <x:v>0</x:v>
      </x:c>
      <x:c r="N99" s="28"/>
      <x:c r="O99" s="22"/>
      <x:c r="P99" s="22"/>
      <x:c r="Q99" s="22"/>
    </x:row>
    <x:row r="100">
      <x:c r="A100" s="22"/>
      <x:c r="B100" s="22"/>
      <x:c r="C100" s="22"/>
      <x:c r="D100" s="22"/>
      <x:c r="E100" s="22"/>
      <x:c r="F100" s="28"/>
      <x:c r="G100" s="24"/>
      <x:c r="H100" s="26"/>
      <x:c r="I100" s="22"/>
      <x:c r="J100" s="22"/>
      <x:c r="K100" s="22"/>
      <x:c r="L100" s="34" t="n">
        <x:f>IF(OR(G100="",I100=""),0,IF(E100="0%",G100/I100,-PMT(H100/12,I100,G100)))</x:f>
        <x:v>0</x:v>
      </x:c>
      <x:c r="M100" s="34" t="n">
        <x:f>MAX(0,G100-SUMIFS(Debt_Payments!$F:$F,Debt_Payments!$C:$C,A100,Debt_Payments!$H:$H,"POSTED"))</x:f>
        <x:v>0</x:v>
      </x:c>
      <x:c r="N100" s="28"/>
      <x:c r="O100" s="22"/>
      <x:c r="P100" s="22"/>
      <x:c r="Q100" s="22"/>
    </x:row>
  </x:sheetData>
  <x:mergeCells>
    <x:mergeCell ref="A1:W1"/>
    <x:mergeCell ref="A2:W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2" hidden="0" customWidth="1"/>
    <x:col min="4" max="4" width="16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13" hidden="0" customWidth="1"/>
    <x:col min="10" max="10" width="30" hidden="0" customWidth="1"/>
  </x:cols>
  <x:sheetData>
    <x:row r="1" ht="26" customHeight="1">
      <x:c r="A1" s="3" t="str">
        <x:v>LỊCH SỬ TRẢ NỢ</x:v>
      </x:c>
    </x:row>
    <x:row r="2" ht="28" customHeight="1">
      <x:c r="A2" s="8" t="str">
        <x:v>Tách riêng tiền gốc, tiền lãi và phí.</x:v>
      </x:c>
    </x:row>
    <x:row r="4" ht="30" customHeight="1">
      <x:c r="A4" s="16" t="str">
        <x:v>Payment_ID</x:v>
      </x:c>
      <x:c r="B4" s="16" t="str">
        <x:v>Ngày</x:v>
      </x:c>
      <x:c r="C4" s="16" t="str">
        <x:v>Debt_ID</x:v>
      </x:c>
      <x:c r="D4" s="16" t="str">
        <x:v>Tổng trả</x:v>
      </x:c>
      <x:c r="E4" s="16" t="str">
        <x:v>Tiền lãi</x:v>
      </x:c>
      <x:c r="F4" s="16" t="str">
        <x:v>Tiền gốc</x:v>
      </x:c>
      <x:c r="G4" s="16" t="str">
        <x:v>Phí</x:v>
      </x:c>
      <x:c r="H4" s="16" t="str">
        <x:v>Trạng thái</x:v>
      </x:c>
      <x:c r="I4" s="16" t="str">
        <x:v>Account_ID</x:v>
      </x:c>
      <x:c r="J4" s="16" t="str">
        <x:v>Ghi chú</x:v>
      </x:c>
    </x:row>
    <x:row r="5">
      <x:c r="A5" s="22"/>
      <x:c r="B5" s="28"/>
      <x:c r="C5" s="22"/>
      <x:c r="D5" s="24"/>
      <x:c r="E5" s="24"/>
      <x:c r="F5" s="24"/>
      <x:c r="G5" s="24"/>
      <x:c r="H5" s="22"/>
      <x:c r="I5" s="22"/>
      <x:c r="J5" s="22"/>
    </x:row>
    <x:row r="6">
      <x:c r="A6" s="22"/>
      <x:c r="B6" s="28"/>
      <x:c r="C6" s="22"/>
      <x:c r="D6" s="24"/>
      <x:c r="E6" s="24"/>
      <x:c r="F6" s="24"/>
      <x:c r="G6" s="24"/>
      <x:c r="H6" s="22"/>
      <x:c r="I6" s="22"/>
      <x:c r="J6" s="22"/>
    </x:row>
    <x:row r="7">
      <x:c r="A7" s="22"/>
      <x:c r="B7" s="28"/>
      <x:c r="C7" s="22"/>
      <x:c r="D7" s="24"/>
      <x:c r="E7" s="24"/>
      <x:c r="F7" s="24"/>
      <x:c r="G7" s="24"/>
      <x:c r="H7" s="22"/>
      <x:c r="I7" s="22"/>
      <x:c r="J7" s="22"/>
    </x:row>
    <x:row r="8">
      <x:c r="A8" s="22"/>
      <x:c r="B8" s="28"/>
      <x:c r="C8" s="22"/>
      <x:c r="D8" s="24"/>
      <x:c r="E8" s="24"/>
      <x:c r="F8" s="24"/>
      <x:c r="G8" s="24"/>
      <x:c r="H8" s="22"/>
      <x:c r="I8" s="22"/>
      <x:c r="J8" s="22"/>
    </x:row>
    <x:row r="9">
      <x:c r="A9" s="22"/>
      <x:c r="B9" s="28"/>
      <x:c r="C9" s="22"/>
      <x:c r="D9" s="24"/>
      <x:c r="E9" s="24"/>
      <x:c r="F9" s="24"/>
      <x:c r="G9" s="24"/>
      <x:c r="H9" s="22"/>
      <x:c r="I9" s="22"/>
      <x:c r="J9" s="22"/>
    </x:row>
    <x:row r="10">
      <x:c r="A10" s="22"/>
      <x:c r="B10" s="28"/>
      <x:c r="C10" s="22"/>
      <x:c r="D10" s="24"/>
      <x:c r="E10" s="24"/>
      <x:c r="F10" s="24"/>
      <x:c r="G10" s="24"/>
      <x:c r="H10" s="22"/>
      <x:c r="I10" s="22"/>
      <x:c r="J10" s="22"/>
    </x:row>
    <x:row r="11">
      <x:c r="A11" s="22"/>
      <x:c r="B11" s="28"/>
      <x:c r="C11" s="22"/>
      <x:c r="D11" s="24"/>
      <x:c r="E11" s="24"/>
      <x:c r="F11" s="24"/>
      <x:c r="G11" s="24"/>
      <x:c r="H11" s="22"/>
      <x:c r="I11" s="22"/>
      <x:c r="J11" s="22"/>
    </x:row>
    <x:row r="12">
      <x:c r="A12" s="22"/>
      <x:c r="B12" s="28"/>
      <x:c r="C12" s="22"/>
      <x:c r="D12" s="24"/>
      <x:c r="E12" s="24"/>
      <x:c r="F12" s="24"/>
      <x:c r="G12" s="24"/>
      <x:c r="H12" s="22"/>
      <x:c r="I12" s="22"/>
      <x:c r="J12" s="22"/>
    </x:row>
    <x:row r="13">
      <x:c r="A13" s="22"/>
      <x:c r="B13" s="28"/>
      <x:c r="C13" s="22"/>
      <x:c r="D13" s="24"/>
      <x:c r="E13" s="24"/>
      <x:c r="F13" s="24"/>
      <x:c r="G13" s="24"/>
      <x:c r="H13" s="22"/>
      <x:c r="I13" s="22"/>
      <x:c r="J13" s="22"/>
    </x:row>
    <x:row r="14">
      <x:c r="A14" s="22"/>
      <x:c r="B14" s="28"/>
      <x:c r="C14" s="22"/>
      <x:c r="D14" s="24"/>
      <x:c r="E14" s="24"/>
      <x:c r="F14" s="24"/>
      <x:c r="G14" s="24"/>
      <x:c r="H14" s="22"/>
      <x:c r="I14" s="22"/>
      <x:c r="J14" s="22"/>
    </x:row>
    <x:row r="15">
      <x:c r="A15" s="22"/>
      <x:c r="B15" s="28"/>
      <x:c r="C15" s="22"/>
      <x:c r="D15" s="24"/>
      <x:c r="E15" s="24"/>
      <x:c r="F15" s="24"/>
      <x:c r="G15" s="24"/>
      <x:c r="H15" s="22"/>
      <x:c r="I15" s="22"/>
      <x:c r="J15" s="22"/>
    </x:row>
    <x:row r="16">
      <x:c r="A16" s="22"/>
      <x:c r="B16" s="28"/>
      <x:c r="C16" s="22"/>
      <x:c r="D16" s="24"/>
      <x:c r="E16" s="24"/>
      <x:c r="F16" s="24"/>
      <x:c r="G16" s="24"/>
      <x:c r="H16" s="22"/>
      <x:c r="I16" s="22"/>
      <x:c r="J16" s="22"/>
    </x:row>
    <x:row r="17">
      <x:c r="A17" s="22"/>
      <x:c r="B17" s="28"/>
      <x:c r="C17" s="22"/>
      <x:c r="D17" s="24"/>
      <x:c r="E17" s="24"/>
      <x:c r="F17" s="24"/>
      <x:c r="G17" s="24"/>
      <x:c r="H17" s="22"/>
      <x:c r="I17" s="22"/>
      <x:c r="J17" s="22"/>
    </x:row>
    <x:row r="18">
      <x:c r="A18" s="22"/>
      <x:c r="B18" s="28"/>
      <x:c r="C18" s="22"/>
      <x:c r="D18" s="24"/>
      <x:c r="E18" s="24"/>
      <x:c r="F18" s="24"/>
      <x:c r="G18" s="24"/>
      <x:c r="H18" s="22"/>
      <x:c r="I18" s="22"/>
      <x:c r="J18" s="22"/>
    </x:row>
    <x:row r="19">
      <x:c r="A19" s="22"/>
      <x:c r="B19" s="28"/>
      <x:c r="C19" s="22"/>
      <x:c r="D19" s="24"/>
      <x:c r="E19" s="24"/>
      <x:c r="F19" s="24"/>
      <x:c r="G19" s="24"/>
      <x:c r="H19" s="22"/>
      <x:c r="I19" s="22"/>
      <x:c r="J19" s="22"/>
    </x:row>
    <x:row r="20">
      <x:c r="A20" s="22"/>
      <x:c r="B20" s="28"/>
      <x:c r="C20" s="22"/>
      <x:c r="D20" s="24"/>
      <x:c r="E20" s="24"/>
      <x:c r="F20" s="24"/>
      <x:c r="G20" s="24"/>
      <x:c r="H20" s="22"/>
      <x:c r="I20" s="22"/>
      <x:c r="J20" s="22"/>
    </x:row>
    <x:row r="21">
      <x:c r="A21" s="22"/>
      <x:c r="B21" s="28"/>
      <x:c r="C21" s="22"/>
      <x:c r="D21" s="24"/>
      <x:c r="E21" s="24"/>
      <x:c r="F21" s="24"/>
      <x:c r="G21" s="24"/>
      <x:c r="H21" s="22"/>
      <x:c r="I21" s="22"/>
      <x:c r="J21" s="22"/>
    </x:row>
    <x:row r="22">
      <x:c r="A22" s="22"/>
      <x:c r="B22" s="28"/>
      <x:c r="C22" s="22"/>
      <x:c r="D22" s="24"/>
      <x:c r="E22" s="24"/>
      <x:c r="F22" s="24"/>
      <x:c r="G22" s="24"/>
      <x:c r="H22" s="22"/>
      <x:c r="I22" s="22"/>
      <x:c r="J22" s="22"/>
    </x:row>
    <x:row r="23">
      <x:c r="A23" s="22"/>
      <x:c r="B23" s="28"/>
      <x:c r="C23" s="22"/>
      <x:c r="D23" s="24"/>
      <x:c r="E23" s="24"/>
      <x:c r="F23" s="24"/>
      <x:c r="G23" s="24"/>
      <x:c r="H23" s="22"/>
      <x:c r="I23" s="22"/>
      <x:c r="J23" s="22"/>
    </x:row>
    <x:row r="24">
      <x:c r="A24" s="22"/>
      <x:c r="B24" s="28"/>
      <x:c r="C24" s="22"/>
      <x:c r="D24" s="24"/>
      <x:c r="E24" s="24"/>
      <x:c r="F24" s="24"/>
      <x:c r="G24" s="24"/>
      <x:c r="H24" s="22"/>
      <x:c r="I24" s="22"/>
      <x:c r="J24" s="22"/>
    </x:row>
    <x:row r="25">
      <x:c r="A25" s="22"/>
      <x:c r="B25" s="28"/>
      <x:c r="C25" s="22"/>
      <x:c r="D25" s="24"/>
      <x:c r="E25" s="24"/>
      <x:c r="F25" s="24"/>
      <x:c r="G25" s="24"/>
      <x:c r="H25" s="22"/>
      <x:c r="I25" s="22"/>
      <x:c r="J25" s="22"/>
    </x:row>
    <x:row r="26">
      <x:c r="A26" s="22"/>
      <x:c r="B26" s="28"/>
      <x:c r="C26" s="22"/>
      <x:c r="D26" s="24"/>
      <x:c r="E26" s="24"/>
      <x:c r="F26" s="24"/>
      <x:c r="G26" s="24"/>
      <x:c r="H26" s="22"/>
      <x:c r="I26" s="22"/>
      <x:c r="J26" s="22"/>
    </x:row>
    <x:row r="27">
      <x:c r="A27" s="22"/>
      <x:c r="B27" s="28"/>
      <x:c r="C27" s="22"/>
      <x:c r="D27" s="24"/>
      <x:c r="E27" s="24"/>
      <x:c r="F27" s="24"/>
      <x:c r="G27" s="24"/>
      <x:c r="H27" s="22"/>
      <x:c r="I27" s="22"/>
      <x:c r="J27" s="22"/>
    </x:row>
    <x:row r="28">
      <x:c r="A28" s="22"/>
      <x:c r="B28" s="28"/>
      <x:c r="C28" s="22"/>
      <x:c r="D28" s="24"/>
      <x:c r="E28" s="24"/>
      <x:c r="F28" s="24"/>
      <x:c r="G28" s="24"/>
      <x:c r="H28" s="22"/>
      <x:c r="I28" s="22"/>
      <x:c r="J28" s="22"/>
    </x:row>
    <x:row r="29">
      <x:c r="A29" s="22"/>
      <x:c r="B29" s="28"/>
      <x:c r="C29" s="22"/>
      <x:c r="D29" s="24"/>
      <x:c r="E29" s="24"/>
      <x:c r="F29" s="24"/>
      <x:c r="G29" s="24"/>
      <x:c r="H29" s="22"/>
      <x:c r="I29" s="22"/>
      <x:c r="J29" s="22"/>
    </x:row>
    <x:row r="30">
      <x:c r="A30" s="22"/>
      <x:c r="B30" s="28"/>
      <x:c r="C30" s="22"/>
      <x:c r="D30" s="24"/>
      <x:c r="E30" s="24"/>
      <x:c r="F30" s="24"/>
      <x:c r="G30" s="24"/>
      <x:c r="H30" s="22"/>
      <x:c r="I30" s="22"/>
      <x:c r="J30" s="22"/>
    </x:row>
    <x:row r="31">
      <x:c r="A31" s="22"/>
      <x:c r="B31" s="28"/>
      <x:c r="C31" s="22"/>
      <x:c r="D31" s="24"/>
      <x:c r="E31" s="24"/>
      <x:c r="F31" s="24"/>
      <x:c r="G31" s="24"/>
      <x:c r="H31" s="22"/>
      <x:c r="I31" s="22"/>
      <x:c r="J31" s="22"/>
    </x:row>
    <x:row r="32">
      <x:c r="A32" s="22"/>
      <x:c r="B32" s="28"/>
      <x:c r="C32" s="22"/>
      <x:c r="D32" s="24"/>
      <x:c r="E32" s="24"/>
      <x:c r="F32" s="24"/>
      <x:c r="G32" s="24"/>
      <x:c r="H32" s="22"/>
      <x:c r="I32" s="22"/>
      <x:c r="J32" s="22"/>
    </x:row>
    <x:row r="33">
      <x:c r="A33" s="22"/>
      <x:c r="B33" s="28"/>
      <x:c r="C33" s="22"/>
      <x:c r="D33" s="24"/>
      <x:c r="E33" s="24"/>
      <x:c r="F33" s="24"/>
      <x:c r="G33" s="24"/>
      <x:c r="H33" s="22"/>
      <x:c r="I33" s="22"/>
      <x:c r="J33" s="22"/>
    </x:row>
    <x:row r="34">
      <x:c r="A34" s="22"/>
      <x:c r="B34" s="28"/>
      <x:c r="C34" s="22"/>
      <x:c r="D34" s="24"/>
      <x:c r="E34" s="24"/>
      <x:c r="F34" s="24"/>
      <x:c r="G34" s="24"/>
      <x:c r="H34" s="22"/>
      <x:c r="I34" s="22"/>
      <x:c r="J34" s="22"/>
    </x:row>
    <x:row r="35">
      <x:c r="A35" s="22"/>
      <x:c r="B35" s="28"/>
      <x:c r="C35" s="22"/>
      <x:c r="D35" s="24"/>
      <x:c r="E35" s="24"/>
      <x:c r="F35" s="24"/>
      <x:c r="G35" s="24"/>
      <x:c r="H35" s="22"/>
      <x:c r="I35" s="22"/>
      <x:c r="J35" s="22"/>
    </x:row>
    <x:row r="36">
      <x:c r="A36" s="22"/>
      <x:c r="B36" s="28"/>
      <x:c r="C36" s="22"/>
      <x:c r="D36" s="24"/>
      <x:c r="E36" s="24"/>
      <x:c r="F36" s="24"/>
      <x:c r="G36" s="24"/>
      <x:c r="H36" s="22"/>
      <x:c r="I36" s="22"/>
      <x:c r="J36" s="22"/>
    </x:row>
    <x:row r="37">
      <x:c r="A37" s="22"/>
      <x:c r="B37" s="28"/>
      <x:c r="C37" s="22"/>
      <x:c r="D37" s="24"/>
      <x:c r="E37" s="24"/>
      <x:c r="F37" s="24"/>
      <x:c r="G37" s="24"/>
      <x:c r="H37" s="22"/>
      <x:c r="I37" s="22"/>
      <x:c r="J37" s="22"/>
    </x:row>
    <x:row r="38">
      <x:c r="A38" s="22"/>
      <x:c r="B38" s="28"/>
      <x:c r="C38" s="22"/>
      <x:c r="D38" s="24"/>
      <x:c r="E38" s="24"/>
      <x:c r="F38" s="24"/>
      <x:c r="G38" s="24"/>
      <x:c r="H38" s="22"/>
      <x:c r="I38" s="22"/>
      <x:c r="J38" s="22"/>
    </x:row>
    <x:row r="39">
      <x:c r="A39" s="22"/>
      <x:c r="B39" s="28"/>
      <x:c r="C39" s="22"/>
      <x:c r="D39" s="24"/>
      <x:c r="E39" s="24"/>
      <x:c r="F39" s="24"/>
      <x:c r="G39" s="24"/>
      <x:c r="H39" s="22"/>
      <x:c r="I39" s="22"/>
      <x:c r="J39" s="22"/>
    </x:row>
    <x:row r="40">
      <x:c r="A40" s="22"/>
      <x:c r="B40" s="28"/>
      <x:c r="C40" s="22"/>
      <x:c r="D40" s="24"/>
      <x:c r="E40" s="24"/>
      <x:c r="F40" s="24"/>
      <x:c r="G40" s="24"/>
      <x:c r="H40" s="22"/>
      <x:c r="I40" s="22"/>
      <x:c r="J40" s="22"/>
    </x:row>
    <x:row r="41">
      <x:c r="A41" s="22"/>
      <x:c r="B41" s="28"/>
      <x:c r="C41" s="22"/>
      <x:c r="D41" s="24"/>
      <x:c r="E41" s="24"/>
      <x:c r="F41" s="24"/>
      <x:c r="G41" s="24"/>
      <x:c r="H41" s="22"/>
      <x:c r="I41" s="22"/>
      <x:c r="J41" s="22"/>
    </x:row>
    <x:row r="42">
      <x:c r="A42" s="22"/>
      <x:c r="B42" s="28"/>
      <x:c r="C42" s="22"/>
      <x:c r="D42" s="24"/>
      <x:c r="E42" s="24"/>
      <x:c r="F42" s="24"/>
      <x:c r="G42" s="24"/>
      <x:c r="H42" s="22"/>
      <x:c r="I42" s="22"/>
      <x:c r="J42" s="22"/>
    </x:row>
    <x:row r="43">
      <x:c r="A43" s="22"/>
      <x:c r="B43" s="28"/>
      <x:c r="C43" s="22"/>
      <x:c r="D43" s="24"/>
      <x:c r="E43" s="24"/>
      <x:c r="F43" s="24"/>
      <x:c r="G43" s="24"/>
      <x:c r="H43" s="22"/>
      <x:c r="I43" s="22"/>
      <x:c r="J43" s="22"/>
    </x:row>
    <x:row r="44">
      <x:c r="A44" s="22"/>
      <x:c r="B44" s="28"/>
      <x:c r="C44" s="22"/>
      <x:c r="D44" s="24"/>
      <x:c r="E44" s="24"/>
      <x:c r="F44" s="24"/>
      <x:c r="G44" s="24"/>
      <x:c r="H44" s="22"/>
      <x:c r="I44" s="22"/>
      <x:c r="J44" s="22"/>
    </x:row>
    <x:row r="45">
      <x:c r="A45" s="22"/>
      <x:c r="B45" s="28"/>
      <x:c r="C45" s="22"/>
      <x:c r="D45" s="24"/>
      <x:c r="E45" s="24"/>
      <x:c r="F45" s="24"/>
      <x:c r="G45" s="24"/>
      <x:c r="H45" s="22"/>
      <x:c r="I45" s="22"/>
      <x:c r="J45" s="22"/>
    </x:row>
    <x:row r="46">
      <x:c r="A46" s="22"/>
      <x:c r="B46" s="28"/>
      <x:c r="C46" s="22"/>
      <x:c r="D46" s="24"/>
      <x:c r="E46" s="24"/>
      <x:c r="F46" s="24"/>
      <x:c r="G46" s="24"/>
      <x:c r="H46" s="22"/>
      <x:c r="I46" s="22"/>
      <x:c r="J46" s="22"/>
    </x:row>
    <x:row r="47">
      <x:c r="A47" s="22"/>
      <x:c r="B47" s="28"/>
      <x:c r="C47" s="22"/>
      <x:c r="D47" s="24"/>
      <x:c r="E47" s="24"/>
      <x:c r="F47" s="24"/>
      <x:c r="G47" s="24"/>
      <x:c r="H47" s="22"/>
      <x:c r="I47" s="22"/>
      <x:c r="J47" s="22"/>
    </x:row>
    <x:row r="48">
      <x:c r="A48" s="22"/>
      <x:c r="B48" s="28"/>
      <x:c r="C48" s="22"/>
      <x:c r="D48" s="24"/>
      <x:c r="E48" s="24"/>
      <x:c r="F48" s="24"/>
      <x:c r="G48" s="24"/>
      <x:c r="H48" s="22"/>
      <x:c r="I48" s="22"/>
      <x:c r="J48" s="22"/>
    </x:row>
    <x:row r="49">
      <x:c r="A49" s="22"/>
      <x:c r="B49" s="28"/>
      <x:c r="C49" s="22"/>
      <x:c r="D49" s="24"/>
      <x:c r="E49" s="24"/>
      <x:c r="F49" s="24"/>
      <x:c r="G49" s="24"/>
      <x:c r="H49" s="22"/>
      <x:c r="I49" s="22"/>
      <x:c r="J49" s="22"/>
    </x:row>
    <x:row r="50">
      <x:c r="A50" s="22"/>
      <x:c r="B50" s="28"/>
      <x:c r="C50" s="22"/>
      <x:c r="D50" s="24"/>
      <x:c r="E50" s="24"/>
      <x:c r="F50" s="24"/>
      <x:c r="G50" s="24"/>
      <x:c r="H50" s="22"/>
      <x:c r="I50" s="22"/>
      <x:c r="J50" s="22"/>
    </x:row>
    <x:row r="51">
      <x:c r="A51" s="22"/>
      <x:c r="B51" s="28"/>
      <x:c r="C51" s="22"/>
      <x:c r="D51" s="24"/>
      <x:c r="E51" s="24"/>
      <x:c r="F51" s="24"/>
      <x:c r="G51" s="24"/>
      <x:c r="H51" s="22"/>
      <x:c r="I51" s="22"/>
      <x:c r="J51" s="22"/>
    </x:row>
    <x:row r="52">
      <x:c r="A52" s="22"/>
      <x:c r="B52" s="28"/>
      <x:c r="C52" s="22"/>
      <x:c r="D52" s="24"/>
      <x:c r="E52" s="24"/>
      <x:c r="F52" s="24"/>
      <x:c r="G52" s="24"/>
      <x:c r="H52" s="22"/>
      <x:c r="I52" s="22"/>
      <x:c r="J52" s="22"/>
    </x:row>
    <x:row r="53">
      <x:c r="A53" s="22"/>
      <x:c r="B53" s="28"/>
      <x:c r="C53" s="22"/>
      <x:c r="D53" s="24"/>
      <x:c r="E53" s="24"/>
      <x:c r="F53" s="24"/>
      <x:c r="G53" s="24"/>
      <x:c r="H53" s="22"/>
      <x:c r="I53" s="22"/>
      <x:c r="J53" s="22"/>
    </x:row>
    <x:row r="54">
      <x:c r="A54" s="22"/>
      <x:c r="B54" s="28"/>
      <x:c r="C54" s="22"/>
      <x:c r="D54" s="24"/>
      <x:c r="E54" s="24"/>
      <x:c r="F54" s="24"/>
      <x:c r="G54" s="24"/>
      <x:c r="H54" s="22"/>
      <x:c r="I54" s="22"/>
      <x:c r="J54" s="22"/>
    </x:row>
    <x:row r="55">
      <x:c r="A55" s="22"/>
      <x:c r="B55" s="28"/>
      <x:c r="C55" s="22"/>
      <x:c r="D55" s="24"/>
      <x:c r="E55" s="24"/>
      <x:c r="F55" s="24"/>
      <x:c r="G55" s="24"/>
      <x:c r="H55" s="22"/>
      <x:c r="I55" s="22"/>
      <x:c r="J55" s="22"/>
    </x:row>
    <x:row r="56">
      <x:c r="A56" s="22"/>
      <x:c r="B56" s="28"/>
      <x:c r="C56" s="22"/>
      <x:c r="D56" s="24"/>
      <x:c r="E56" s="24"/>
      <x:c r="F56" s="24"/>
      <x:c r="G56" s="24"/>
      <x:c r="H56" s="22"/>
      <x:c r="I56" s="22"/>
      <x:c r="J56" s="22"/>
    </x:row>
    <x:row r="57">
      <x:c r="A57" s="22"/>
      <x:c r="B57" s="28"/>
      <x:c r="C57" s="22"/>
      <x:c r="D57" s="24"/>
      <x:c r="E57" s="24"/>
      <x:c r="F57" s="24"/>
      <x:c r="G57" s="24"/>
      <x:c r="H57" s="22"/>
      <x:c r="I57" s="22"/>
      <x:c r="J57" s="22"/>
    </x:row>
    <x:row r="58">
      <x:c r="A58" s="22"/>
      <x:c r="B58" s="28"/>
      <x:c r="C58" s="22"/>
      <x:c r="D58" s="24"/>
      <x:c r="E58" s="24"/>
      <x:c r="F58" s="24"/>
      <x:c r="G58" s="24"/>
      <x:c r="H58" s="22"/>
      <x:c r="I58" s="22"/>
      <x:c r="J58" s="22"/>
    </x:row>
    <x:row r="59">
      <x:c r="A59" s="22"/>
      <x:c r="B59" s="28"/>
      <x:c r="C59" s="22"/>
      <x:c r="D59" s="24"/>
      <x:c r="E59" s="24"/>
      <x:c r="F59" s="24"/>
      <x:c r="G59" s="24"/>
      <x:c r="H59" s="22"/>
      <x:c r="I59" s="22"/>
      <x:c r="J59" s="22"/>
    </x:row>
    <x:row r="60">
      <x:c r="A60" s="22"/>
      <x:c r="B60" s="28"/>
      <x:c r="C60" s="22"/>
      <x:c r="D60" s="24"/>
      <x:c r="E60" s="24"/>
      <x:c r="F60" s="24"/>
      <x:c r="G60" s="24"/>
      <x:c r="H60" s="22"/>
      <x:c r="I60" s="22"/>
      <x:c r="J60" s="22"/>
    </x:row>
    <x:row r="61">
      <x:c r="A61" s="22"/>
      <x:c r="B61" s="28"/>
      <x:c r="C61" s="22"/>
      <x:c r="D61" s="24"/>
      <x:c r="E61" s="24"/>
      <x:c r="F61" s="24"/>
      <x:c r="G61" s="24"/>
      <x:c r="H61" s="22"/>
      <x:c r="I61" s="22"/>
      <x:c r="J61" s="22"/>
    </x:row>
    <x:row r="62">
      <x:c r="A62" s="22"/>
      <x:c r="B62" s="28"/>
      <x:c r="C62" s="22"/>
      <x:c r="D62" s="24"/>
      <x:c r="E62" s="24"/>
      <x:c r="F62" s="24"/>
      <x:c r="G62" s="24"/>
      <x:c r="H62" s="22"/>
      <x:c r="I62" s="22"/>
      <x:c r="J62" s="22"/>
    </x:row>
    <x:row r="63">
      <x:c r="A63" s="22"/>
      <x:c r="B63" s="28"/>
      <x:c r="C63" s="22"/>
      <x:c r="D63" s="24"/>
      <x:c r="E63" s="24"/>
      <x:c r="F63" s="24"/>
      <x:c r="G63" s="24"/>
      <x:c r="H63" s="22"/>
      <x:c r="I63" s="22"/>
      <x:c r="J63" s="22"/>
    </x:row>
    <x:row r="64">
      <x:c r="A64" s="22"/>
      <x:c r="B64" s="28"/>
      <x:c r="C64" s="22"/>
      <x:c r="D64" s="24"/>
      <x:c r="E64" s="24"/>
      <x:c r="F64" s="24"/>
      <x:c r="G64" s="24"/>
      <x:c r="H64" s="22"/>
      <x:c r="I64" s="22"/>
      <x:c r="J64" s="22"/>
    </x:row>
    <x:row r="65">
      <x:c r="A65" s="22"/>
      <x:c r="B65" s="28"/>
      <x:c r="C65" s="22"/>
      <x:c r="D65" s="24"/>
      <x:c r="E65" s="24"/>
      <x:c r="F65" s="24"/>
      <x:c r="G65" s="24"/>
      <x:c r="H65" s="22"/>
      <x:c r="I65" s="22"/>
      <x:c r="J65" s="22"/>
    </x:row>
    <x:row r="66">
      <x:c r="A66" s="22"/>
      <x:c r="B66" s="28"/>
      <x:c r="C66" s="22"/>
      <x:c r="D66" s="24"/>
      <x:c r="E66" s="24"/>
      <x:c r="F66" s="24"/>
      <x:c r="G66" s="24"/>
      <x:c r="H66" s="22"/>
      <x:c r="I66" s="22"/>
      <x:c r="J66" s="22"/>
    </x:row>
    <x:row r="67">
      <x:c r="A67" s="22"/>
      <x:c r="B67" s="28"/>
      <x:c r="C67" s="22"/>
      <x:c r="D67" s="24"/>
      <x:c r="E67" s="24"/>
      <x:c r="F67" s="24"/>
      <x:c r="G67" s="24"/>
      <x:c r="H67" s="22"/>
      <x:c r="I67" s="22"/>
      <x:c r="J67" s="22"/>
    </x:row>
    <x:row r="68">
      <x:c r="A68" s="22"/>
      <x:c r="B68" s="28"/>
      <x:c r="C68" s="22"/>
      <x:c r="D68" s="24"/>
      <x:c r="E68" s="24"/>
      <x:c r="F68" s="24"/>
      <x:c r="G68" s="24"/>
      <x:c r="H68" s="22"/>
      <x:c r="I68" s="22"/>
      <x:c r="J68" s="22"/>
    </x:row>
    <x:row r="69">
      <x:c r="A69" s="22"/>
      <x:c r="B69" s="28"/>
      <x:c r="C69" s="22"/>
      <x:c r="D69" s="24"/>
      <x:c r="E69" s="24"/>
      <x:c r="F69" s="24"/>
      <x:c r="G69" s="24"/>
      <x:c r="H69" s="22"/>
      <x:c r="I69" s="22"/>
      <x:c r="J69" s="22"/>
    </x:row>
    <x:row r="70">
      <x:c r="A70" s="22"/>
      <x:c r="B70" s="28"/>
      <x:c r="C70" s="22"/>
      <x:c r="D70" s="24"/>
      <x:c r="E70" s="24"/>
      <x:c r="F70" s="24"/>
      <x:c r="G70" s="24"/>
      <x:c r="H70" s="22"/>
      <x:c r="I70" s="22"/>
      <x:c r="J70" s="22"/>
    </x:row>
    <x:row r="71">
      <x:c r="A71" s="22"/>
      <x:c r="B71" s="28"/>
      <x:c r="C71" s="22"/>
      <x:c r="D71" s="24"/>
      <x:c r="E71" s="24"/>
      <x:c r="F71" s="24"/>
      <x:c r="G71" s="24"/>
      <x:c r="H71" s="22"/>
      <x:c r="I71" s="22"/>
      <x:c r="J71" s="22"/>
    </x:row>
    <x:row r="72">
      <x:c r="A72" s="22"/>
      <x:c r="B72" s="28"/>
      <x:c r="C72" s="22"/>
      <x:c r="D72" s="24"/>
      <x:c r="E72" s="24"/>
      <x:c r="F72" s="24"/>
      <x:c r="G72" s="24"/>
      <x:c r="H72" s="22"/>
      <x:c r="I72" s="22"/>
      <x:c r="J72" s="22"/>
    </x:row>
    <x:row r="73">
      <x:c r="A73" s="22"/>
      <x:c r="B73" s="28"/>
      <x:c r="C73" s="22"/>
      <x:c r="D73" s="24"/>
      <x:c r="E73" s="24"/>
      <x:c r="F73" s="24"/>
      <x:c r="G73" s="24"/>
      <x:c r="H73" s="22"/>
      <x:c r="I73" s="22"/>
      <x:c r="J73" s="22"/>
    </x:row>
    <x:row r="74">
      <x:c r="A74" s="22"/>
      <x:c r="B74" s="28"/>
      <x:c r="C74" s="22"/>
      <x:c r="D74" s="24"/>
      <x:c r="E74" s="24"/>
      <x:c r="F74" s="24"/>
      <x:c r="G74" s="24"/>
      <x:c r="H74" s="22"/>
      <x:c r="I74" s="22"/>
      <x:c r="J74" s="22"/>
    </x:row>
    <x:row r="75">
      <x:c r="A75" s="22"/>
      <x:c r="B75" s="28"/>
      <x:c r="C75" s="22"/>
      <x:c r="D75" s="24"/>
      <x:c r="E75" s="24"/>
      <x:c r="F75" s="24"/>
      <x:c r="G75" s="24"/>
      <x:c r="H75" s="22"/>
      <x:c r="I75" s="22"/>
      <x:c r="J75" s="22"/>
    </x:row>
    <x:row r="76">
      <x:c r="A76" s="22"/>
      <x:c r="B76" s="28"/>
      <x:c r="C76" s="22"/>
      <x:c r="D76" s="24"/>
      <x:c r="E76" s="24"/>
      <x:c r="F76" s="24"/>
      <x:c r="G76" s="24"/>
      <x:c r="H76" s="22"/>
      <x:c r="I76" s="22"/>
      <x:c r="J76" s="22"/>
    </x:row>
    <x:row r="77">
      <x:c r="A77" s="22"/>
      <x:c r="B77" s="28"/>
      <x:c r="C77" s="22"/>
      <x:c r="D77" s="24"/>
      <x:c r="E77" s="24"/>
      <x:c r="F77" s="24"/>
      <x:c r="G77" s="24"/>
      <x:c r="H77" s="22"/>
      <x:c r="I77" s="22"/>
      <x:c r="J77" s="22"/>
    </x:row>
    <x:row r="78">
      <x:c r="A78" s="22"/>
      <x:c r="B78" s="28"/>
      <x:c r="C78" s="22"/>
      <x:c r="D78" s="24"/>
      <x:c r="E78" s="24"/>
      <x:c r="F78" s="24"/>
      <x:c r="G78" s="24"/>
      <x:c r="H78" s="22"/>
      <x:c r="I78" s="22"/>
      <x:c r="J78" s="22"/>
    </x:row>
    <x:row r="79">
      <x:c r="A79" s="22"/>
      <x:c r="B79" s="28"/>
      <x:c r="C79" s="22"/>
      <x:c r="D79" s="24"/>
      <x:c r="E79" s="24"/>
      <x:c r="F79" s="24"/>
      <x:c r="G79" s="24"/>
      <x:c r="H79" s="22"/>
      <x:c r="I79" s="22"/>
      <x:c r="J79" s="22"/>
    </x:row>
    <x:row r="80">
      <x:c r="A80" s="22"/>
      <x:c r="B80" s="28"/>
      <x:c r="C80" s="22"/>
      <x:c r="D80" s="24"/>
      <x:c r="E80" s="24"/>
      <x:c r="F80" s="24"/>
      <x:c r="G80" s="24"/>
      <x:c r="H80" s="22"/>
      <x:c r="I80" s="22"/>
      <x:c r="J80" s="22"/>
    </x:row>
    <x:row r="81">
      <x:c r="A81" s="22"/>
      <x:c r="B81" s="28"/>
      <x:c r="C81" s="22"/>
      <x:c r="D81" s="24"/>
      <x:c r="E81" s="24"/>
      <x:c r="F81" s="24"/>
      <x:c r="G81" s="24"/>
      <x:c r="H81" s="22"/>
      <x:c r="I81" s="22"/>
      <x:c r="J81" s="22"/>
    </x:row>
    <x:row r="82">
      <x:c r="A82" s="22"/>
      <x:c r="B82" s="28"/>
      <x:c r="C82" s="22"/>
      <x:c r="D82" s="24"/>
      <x:c r="E82" s="24"/>
      <x:c r="F82" s="24"/>
      <x:c r="G82" s="24"/>
      <x:c r="H82" s="22"/>
      <x:c r="I82" s="22"/>
      <x:c r="J82" s="22"/>
    </x:row>
    <x:row r="83">
      <x:c r="A83" s="22"/>
      <x:c r="B83" s="28"/>
      <x:c r="C83" s="22"/>
      <x:c r="D83" s="24"/>
      <x:c r="E83" s="24"/>
      <x:c r="F83" s="24"/>
      <x:c r="G83" s="24"/>
      <x:c r="H83" s="22"/>
      <x:c r="I83" s="22"/>
      <x:c r="J83" s="22"/>
    </x:row>
    <x:row r="84">
      <x:c r="A84" s="22"/>
      <x:c r="B84" s="28"/>
      <x:c r="C84" s="22"/>
      <x:c r="D84" s="24"/>
      <x:c r="E84" s="24"/>
      <x:c r="F84" s="24"/>
      <x:c r="G84" s="24"/>
      <x:c r="H84" s="22"/>
      <x:c r="I84" s="22"/>
      <x:c r="J84" s="22"/>
    </x:row>
    <x:row r="85">
      <x:c r="A85" s="22"/>
      <x:c r="B85" s="28"/>
      <x:c r="C85" s="22"/>
      <x:c r="D85" s="24"/>
      <x:c r="E85" s="24"/>
      <x:c r="F85" s="24"/>
      <x:c r="G85" s="24"/>
      <x:c r="H85" s="22"/>
      <x:c r="I85" s="22"/>
      <x:c r="J85" s="22"/>
    </x:row>
    <x:row r="86">
      <x:c r="A86" s="22"/>
      <x:c r="B86" s="28"/>
      <x:c r="C86" s="22"/>
      <x:c r="D86" s="24"/>
      <x:c r="E86" s="24"/>
      <x:c r="F86" s="24"/>
      <x:c r="G86" s="24"/>
      <x:c r="H86" s="22"/>
      <x:c r="I86" s="22"/>
      <x:c r="J86" s="22"/>
    </x:row>
    <x:row r="87">
      <x:c r="A87" s="22"/>
      <x:c r="B87" s="28"/>
      <x:c r="C87" s="22"/>
      <x:c r="D87" s="24"/>
      <x:c r="E87" s="24"/>
      <x:c r="F87" s="24"/>
      <x:c r="G87" s="24"/>
      <x:c r="H87" s="22"/>
      <x:c r="I87" s="22"/>
      <x:c r="J87" s="22"/>
    </x:row>
    <x:row r="88">
      <x:c r="A88" s="22"/>
      <x:c r="B88" s="28"/>
      <x:c r="C88" s="22"/>
      <x:c r="D88" s="24"/>
      <x:c r="E88" s="24"/>
      <x:c r="F88" s="24"/>
      <x:c r="G88" s="24"/>
      <x:c r="H88" s="22"/>
      <x:c r="I88" s="22"/>
      <x:c r="J88" s="22"/>
    </x:row>
    <x:row r="89">
      <x:c r="A89" s="22"/>
      <x:c r="B89" s="28"/>
      <x:c r="C89" s="22"/>
      <x:c r="D89" s="24"/>
      <x:c r="E89" s="24"/>
      <x:c r="F89" s="24"/>
      <x:c r="G89" s="24"/>
      <x:c r="H89" s="22"/>
      <x:c r="I89" s="22"/>
      <x:c r="J89" s="22"/>
    </x:row>
    <x:row r="90">
      <x:c r="A90" s="22"/>
      <x:c r="B90" s="28"/>
      <x:c r="C90" s="22"/>
      <x:c r="D90" s="24"/>
      <x:c r="E90" s="24"/>
      <x:c r="F90" s="24"/>
      <x:c r="G90" s="24"/>
      <x:c r="H90" s="22"/>
      <x:c r="I90" s="22"/>
      <x:c r="J90" s="22"/>
    </x:row>
    <x:row r="91">
      <x:c r="A91" s="22"/>
      <x:c r="B91" s="28"/>
      <x:c r="C91" s="22"/>
      <x:c r="D91" s="24"/>
      <x:c r="E91" s="24"/>
      <x:c r="F91" s="24"/>
      <x:c r="G91" s="24"/>
      <x:c r="H91" s="22"/>
      <x:c r="I91" s="22"/>
      <x:c r="J91" s="22"/>
    </x:row>
    <x:row r="92">
      <x:c r="A92" s="22"/>
      <x:c r="B92" s="28"/>
      <x:c r="C92" s="22"/>
      <x:c r="D92" s="24"/>
      <x:c r="E92" s="24"/>
      <x:c r="F92" s="24"/>
      <x:c r="G92" s="24"/>
      <x:c r="H92" s="22"/>
      <x:c r="I92" s="22"/>
      <x:c r="J92" s="22"/>
    </x:row>
    <x:row r="93">
      <x:c r="A93" s="22"/>
      <x:c r="B93" s="28"/>
      <x:c r="C93" s="22"/>
      <x:c r="D93" s="24"/>
      <x:c r="E93" s="24"/>
      <x:c r="F93" s="24"/>
      <x:c r="G93" s="24"/>
      <x:c r="H93" s="22"/>
      <x:c r="I93" s="22"/>
      <x:c r="J93" s="22"/>
    </x:row>
    <x:row r="94">
      <x:c r="A94" s="22"/>
      <x:c r="B94" s="28"/>
      <x:c r="C94" s="22"/>
      <x:c r="D94" s="24"/>
      <x:c r="E94" s="24"/>
      <x:c r="F94" s="24"/>
      <x:c r="G94" s="24"/>
      <x:c r="H94" s="22"/>
      <x:c r="I94" s="22"/>
      <x:c r="J94" s="22"/>
    </x:row>
    <x:row r="95">
      <x:c r="A95" s="22"/>
      <x:c r="B95" s="28"/>
      <x:c r="C95" s="22"/>
      <x:c r="D95" s="24"/>
      <x:c r="E95" s="24"/>
      <x:c r="F95" s="24"/>
      <x:c r="G95" s="24"/>
      <x:c r="H95" s="22"/>
      <x:c r="I95" s="22"/>
      <x:c r="J95" s="22"/>
    </x:row>
    <x:row r="96">
      <x:c r="A96" s="22"/>
      <x:c r="B96" s="28"/>
      <x:c r="C96" s="22"/>
      <x:c r="D96" s="24"/>
      <x:c r="E96" s="24"/>
      <x:c r="F96" s="24"/>
      <x:c r="G96" s="24"/>
      <x:c r="H96" s="22"/>
      <x:c r="I96" s="22"/>
      <x:c r="J96" s="22"/>
    </x:row>
    <x:row r="97">
      <x:c r="A97" s="22"/>
      <x:c r="B97" s="28"/>
      <x:c r="C97" s="22"/>
      <x:c r="D97" s="24"/>
      <x:c r="E97" s="24"/>
      <x:c r="F97" s="24"/>
      <x:c r="G97" s="24"/>
      <x:c r="H97" s="22"/>
      <x:c r="I97" s="22"/>
      <x:c r="J97" s="22"/>
    </x:row>
    <x:row r="98">
      <x:c r="A98" s="22"/>
      <x:c r="B98" s="28"/>
      <x:c r="C98" s="22"/>
      <x:c r="D98" s="24"/>
      <x:c r="E98" s="24"/>
      <x:c r="F98" s="24"/>
      <x:c r="G98" s="24"/>
      <x:c r="H98" s="22"/>
      <x:c r="I98" s="22"/>
      <x:c r="J98" s="22"/>
    </x:row>
    <x:row r="99">
      <x:c r="A99" s="22"/>
      <x:c r="B99" s="28"/>
      <x:c r="C99" s="22"/>
      <x:c r="D99" s="24"/>
      <x:c r="E99" s="24"/>
      <x:c r="F99" s="24"/>
      <x:c r="G99" s="24"/>
      <x:c r="H99" s="22"/>
      <x:c r="I99" s="22"/>
      <x:c r="J99" s="22"/>
    </x:row>
    <x:row r="100">
      <x:c r="A100" s="22"/>
      <x:c r="B100" s="28"/>
      <x:c r="C100" s="22"/>
      <x:c r="D100" s="24"/>
      <x:c r="E100" s="24"/>
      <x:c r="F100" s="24"/>
      <x:c r="G100" s="24"/>
      <x:c r="H100" s="22"/>
      <x:c r="I100" s="22"/>
      <x:c r="J100" s="22"/>
    </x:row>
    <x:row r="101">
      <x:c r="A101" s="22"/>
      <x:c r="B101" s="28"/>
      <x:c r="C101" s="22"/>
      <x:c r="D101" s="24"/>
      <x:c r="E101" s="24"/>
      <x:c r="F101" s="24"/>
      <x:c r="G101" s="24"/>
      <x:c r="H101" s="22"/>
      <x:c r="I101" s="22"/>
      <x:c r="J101" s="22"/>
    </x:row>
    <x:row r="102">
      <x:c r="A102" s="22"/>
      <x:c r="B102" s="28"/>
      <x:c r="C102" s="22"/>
      <x:c r="D102" s="24"/>
      <x:c r="E102" s="24"/>
      <x:c r="F102" s="24"/>
      <x:c r="G102" s="24"/>
      <x:c r="H102" s="22"/>
      <x:c r="I102" s="22"/>
      <x:c r="J102" s="22"/>
    </x:row>
    <x:row r="103">
      <x:c r="A103" s="22"/>
      <x:c r="B103" s="28"/>
      <x:c r="C103" s="22"/>
      <x:c r="D103" s="24"/>
      <x:c r="E103" s="24"/>
      <x:c r="F103" s="24"/>
      <x:c r="G103" s="24"/>
      <x:c r="H103" s="22"/>
      <x:c r="I103" s="22"/>
      <x:c r="J103" s="22"/>
    </x:row>
    <x:row r="104">
      <x:c r="A104" s="22"/>
      <x:c r="B104" s="28"/>
      <x:c r="C104" s="22"/>
      <x:c r="D104" s="24"/>
      <x:c r="E104" s="24"/>
      <x:c r="F104" s="24"/>
      <x:c r="G104" s="24"/>
      <x:c r="H104" s="22"/>
      <x:c r="I104" s="22"/>
      <x:c r="J104" s="22"/>
    </x:row>
    <x:row r="105">
      <x:c r="A105" s="22"/>
      <x:c r="B105" s="28"/>
      <x:c r="C105" s="22"/>
      <x:c r="D105" s="24"/>
      <x:c r="E105" s="24"/>
      <x:c r="F105" s="24"/>
      <x:c r="G105" s="24"/>
      <x:c r="H105" s="22"/>
      <x:c r="I105" s="22"/>
      <x:c r="J105" s="22"/>
    </x:row>
    <x:row r="106">
      <x:c r="A106" s="22"/>
      <x:c r="B106" s="28"/>
      <x:c r="C106" s="22"/>
      <x:c r="D106" s="24"/>
      <x:c r="E106" s="24"/>
      <x:c r="F106" s="24"/>
      <x:c r="G106" s="24"/>
      <x:c r="H106" s="22"/>
      <x:c r="I106" s="22"/>
      <x:c r="J106" s="22"/>
    </x:row>
    <x:row r="107">
      <x:c r="A107" s="22"/>
      <x:c r="B107" s="28"/>
      <x:c r="C107" s="22"/>
      <x:c r="D107" s="24"/>
      <x:c r="E107" s="24"/>
      <x:c r="F107" s="24"/>
      <x:c r="G107" s="24"/>
      <x:c r="H107" s="22"/>
      <x:c r="I107" s="22"/>
      <x:c r="J107" s="22"/>
    </x:row>
    <x:row r="108">
      <x:c r="A108" s="22"/>
      <x:c r="B108" s="28"/>
      <x:c r="C108" s="22"/>
      <x:c r="D108" s="24"/>
      <x:c r="E108" s="24"/>
      <x:c r="F108" s="24"/>
      <x:c r="G108" s="24"/>
      <x:c r="H108" s="22"/>
      <x:c r="I108" s="22"/>
      <x:c r="J108" s="22"/>
    </x:row>
    <x:row r="109">
      <x:c r="A109" s="22"/>
      <x:c r="B109" s="28"/>
      <x:c r="C109" s="22"/>
      <x:c r="D109" s="24"/>
      <x:c r="E109" s="24"/>
      <x:c r="F109" s="24"/>
      <x:c r="G109" s="24"/>
      <x:c r="H109" s="22"/>
      <x:c r="I109" s="22"/>
      <x:c r="J109" s="22"/>
    </x:row>
    <x:row r="110">
      <x:c r="A110" s="22"/>
      <x:c r="B110" s="28"/>
      <x:c r="C110" s="22"/>
      <x:c r="D110" s="24"/>
      <x:c r="E110" s="24"/>
      <x:c r="F110" s="24"/>
      <x:c r="G110" s="24"/>
      <x:c r="H110" s="22"/>
      <x:c r="I110" s="22"/>
      <x:c r="J110" s="22"/>
    </x:row>
    <x:row r="111">
      <x:c r="A111" s="22"/>
      <x:c r="B111" s="28"/>
      <x:c r="C111" s="22"/>
      <x:c r="D111" s="24"/>
      <x:c r="E111" s="24"/>
      <x:c r="F111" s="24"/>
      <x:c r="G111" s="24"/>
      <x:c r="H111" s="22"/>
      <x:c r="I111" s="22"/>
      <x:c r="J111" s="22"/>
    </x:row>
    <x:row r="112">
      <x:c r="A112" s="22"/>
      <x:c r="B112" s="28"/>
      <x:c r="C112" s="22"/>
      <x:c r="D112" s="24"/>
      <x:c r="E112" s="24"/>
      <x:c r="F112" s="24"/>
      <x:c r="G112" s="24"/>
      <x:c r="H112" s="22"/>
      <x:c r="I112" s="22"/>
      <x:c r="J112" s="22"/>
    </x:row>
    <x:row r="113">
      <x:c r="A113" s="22"/>
      <x:c r="B113" s="28"/>
      <x:c r="C113" s="22"/>
      <x:c r="D113" s="24"/>
      <x:c r="E113" s="24"/>
      <x:c r="F113" s="24"/>
      <x:c r="G113" s="24"/>
      <x:c r="H113" s="22"/>
      <x:c r="I113" s="22"/>
      <x:c r="J113" s="22"/>
    </x:row>
    <x:row r="114">
      <x:c r="A114" s="22"/>
      <x:c r="B114" s="28"/>
      <x:c r="C114" s="22"/>
      <x:c r="D114" s="24"/>
      <x:c r="E114" s="24"/>
      <x:c r="F114" s="24"/>
      <x:c r="G114" s="24"/>
      <x:c r="H114" s="22"/>
      <x:c r="I114" s="22"/>
      <x:c r="J114" s="22"/>
    </x:row>
    <x:row r="115">
      <x:c r="A115" s="22"/>
      <x:c r="B115" s="28"/>
      <x:c r="C115" s="22"/>
      <x:c r="D115" s="24"/>
      <x:c r="E115" s="24"/>
      <x:c r="F115" s="24"/>
      <x:c r="G115" s="24"/>
      <x:c r="H115" s="22"/>
      <x:c r="I115" s="22"/>
      <x:c r="J115" s="22"/>
    </x:row>
    <x:row r="116">
      <x:c r="A116" s="22"/>
      <x:c r="B116" s="28"/>
      <x:c r="C116" s="22"/>
      <x:c r="D116" s="24"/>
      <x:c r="E116" s="24"/>
      <x:c r="F116" s="24"/>
      <x:c r="G116" s="24"/>
      <x:c r="H116" s="22"/>
      <x:c r="I116" s="22"/>
      <x:c r="J116" s="22"/>
    </x:row>
    <x:row r="117">
      <x:c r="A117" s="22"/>
      <x:c r="B117" s="28"/>
      <x:c r="C117" s="22"/>
      <x:c r="D117" s="24"/>
      <x:c r="E117" s="24"/>
      <x:c r="F117" s="24"/>
      <x:c r="G117" s="24"/>
      <x:c r="H117" s="22"/>
      <x:c r="I117" s="22"/>
      <x:c r="J117" s="22"/>
    </x:row>
    <x:row r="118">
      <x:c r="A118" s="22"/>
      <x:c r="B118" s="28"/>
      <x:c r="C118" s="22"/>
      <x:c r="D118" s="24"/>
      <x:c r="E118" s="24"/>
      <x:c r="F118" s="24"/>
      <x:c r="G118" s="24"/>
      <x:c r="H118" s="22"/>
      <x:c r="I118" s="22"/>
      <x:c r="J118" s="22"/>
    </x:row>
    <x:row r="119">
      <x:c r="A119" s="22"/>
      <x:c r="B119" s="28"/>
      <x:c r="C119" s="22"/>
      <x:c r="D119" s="24"/>
      <x:c r="E119" s="24"/>
      <x:c r="F119" s="24"/>
      <x:c r="G119" s="24"/>
      <x:c r="H119" s="22"/>
      <x:c r="I119" s="22"/>
      <x:c r="J119" s="22"/>
    </x:row>
    <x:row r="120">
      <x:c r="A120" s="22"/>
      <x:c r="B120" s="28"/>
      <x:c r="C120" s="22"/>
      <x:c r="D120" s="24"/>
      <x:c r="E120" s="24"/>
      <x:c r="F120" s="24"/>
      <x:c r="G120" s="24"/>
      <x:c r="H120" s="22"/>
      <x:c r="I120" s="22"/>
      <x:c r="J120" s="22"/>
    </x:row>
    <x:row r="121">
      <x:c r="A121" s="22"/>
      <x:c r="B121" s="28"/>
      <x:c r="C121" s="22"/>
      <x:c r="D121" s="24"/>
      <x:c r="E121" s="24"/>
      <x:c r="F121" s="24"/>
      <x:c r="G121" s="24"/>
      <x:c r="H121" s="22"/>
      <x:c r="I121" s="22"/>
      <x:c r="J121" s="22"/>
    </x:row>
    <x:row r="122">
      <x:c r="A122" s="22"/>
      <x:c r="B122" s="28"/>
      <x:c r="C122" s="22"/>
      <x:c r="D122" s="24"/>
      <x:c r="E122" s="24"/>
      <x:c r="F122" s="24"/>
      <x:c r="G122" s="24"/>
      <x:c r="H122" s="22"/>
      <x:c r="I122" s="22"/>
      <x:c r="J122" s="22"/>
    </x:row>
    <x:row r="123">
      <x:c r="A123" s="22"/>
      <x:c r="B123" s="28"/>
      <x:c r="C123" s="22"/>
      <x:c r="D123" s="24"/>
      <x:c r="E123" s="24"/>
      <x:c r="F123" s="24"/>
      <x:c r="G123" s="24"/>
      <x:c r="H123" s="22"/>
      <x:c r="I123" s="22"/>
      <x:c r="J123" s="22"/>
    </x:row>
    <x:row r="124">
      <x:c r="A124" s="22"/>
      <x:c r="B124" s="28"/>
      <x:c r="C124" s="22"/>
      <x:c r="D124" s="24"/>
      <x:c r="E124" s="24"/>
      <x:c r="F124" s="24"/>
      <x:c r="G124" s="24"/>
      <x:c r="H124" s="22"/>
      <x:c r="I124" s="22"/>
      <x:c r="J124" s="22"/>
    </x:row>
    <x:row r="125">
      <x:c r="A125" s="22"/>
      <x:c r="B125" s="28"/>
      <x:c r="C125" s="22"/>
      <x:c r="D125" s="24"/>
      <x:c r="E125" s="24"/>
      <x:c r="F125" s="24"/>
      <x:c r="G125" s="24"/>
      <x:c r="H125" s="22"/>
      <x:c r="I125" s="22"/>
      <x:c r="J125" s="22"/>
    </x:row>
    <x:row r="126">
      <x:c r="A126" s="22"/>
      <x:c r="B126" s="28"/>
      <x:c r="C126" s="22"/>
      <x:c r="D126" s="24"/>
      <x:c r="E126" s="24"/>
      <x:c r="F126" s="24"/>
      <x:c r="G126" s="24"/>
      <x:c r="H126" s="22"/>
      <x:c r="I126" s="22"/>
      <x:c r="J126" s="22"/>
    </x:row>
    <x:row r="127">
      <x:c r="A127" s="22"/>
      <x:c r="B127" s="28"/>
      <x:c r="C127" s="22"/>
      <x:c r="D127" s="24"/>
      <x:c r="E127" s="24"/>
      <x:c r="F127" s="24"/>
      <x:c r="G127" s="24"/>
      <x:c r="H127" s="22"/>
      <x:c r="I127" s="22"/>
      <x:c r="J127" s="22"/>
    </x:row>
    <x:row r="128">
      <x:c r="A128" s="22"/>
      <x:c r="B128" s="28"/>
      <x:c r="C128" s="22"/>
      <x:c r="D128" s="24"/>
      <x:c r="E128" s="24"/>
      <x:c r="F128" s="24"/>
      <x:c r="G128" s="24"/>
      <x:c r="H128" s="22"/>
      <x:c r="I128" s="22"/>
      <x:c r="J128" s="22"/>
    </x:row>
    <x:row r="129">
      <x:c r="A129" s="22"/>
      <x:c r="B129" s="28"/>
      <x:c r="C129" s="22"/>
      <x:c r="D129" s="24"/>
      <x:c r="E129" s="24"/>
      <x:c r="F129" s="24"/>
      <x:c r="G129" s="24"/>
      <x:c r="H129" s="22"/>
      <x:c r="I129" s="22"/>
      <x:c r="J129" s="22"/>
    </x:row>
    <x:row r="130">
      <x:c r="A130" s="22"/>
      <x:c r="B130" s="28"/>
      <x:c r="C130" s="22"/>
      <x:c r="D130" s="24"/>
      <x:c r="E130" s="24"/>
      <x:c r="F130" s="24"/>
      <x:c r="G130" s="24"/>
      <x:c r="H130" s="22"/>
      <x:c r="I130" s="22"/>
      <x:c r="J130" s="22"/>
    </x:row>
    <x:row r="131">
      <x:c r="A131" s="22"/>
      <x:c r="B131" s="28"/>
      <x:c r="C131" s="22"/>
      <x:c r="D131" s="24"/>
      <x:c r="E131" s="24"/>
      <x:c r="F131" s="24"/>
      <x:c r="G131" s="24"/>
      <x:c r="H131" s="22"/>
      <x:c r="I131" s="22"/>
      <x:c r="J131" s="22"/>
    </x:row>
    <x:row r="132">
      <x:c r="A132" s="22"/>
      <x:c r="B132" s="28"/>
      <x:c r="C132" s="22"/>
      <x:c r="D132" s="24"/>
      <x:c r="E132" s="24"/>
      <x:c r="F132" s="24"/>
      <x:c r="G132" s="24"/>
      <x:c r="H132" s="22"/>
      <x:c r="I132" s="22"/>
      <x:c r="J132" s="22"/>
    </x:row>
    <x:row r="133">
      <x:c r="A133" s="22"/>
      <x:c r="B133" s="28"/>
      <x:c r="C133" s="22"/>
      <x:c r="D133" s="24"/>
      <x:c r="E133" s="24"/>
      <x:c r="F133" s="24"/>
      <x:c r="G133" s="24"/>
      <x:c r="H133" s="22"/>
      <x:c r="I133" s="22"/>
      <x:c r="J133" s="22"/>
    </x:row>
    <x:row r="134">
      <x:c r="A134" s="22"/>
      <x:c r="B134" s="28"/>
      <x:c r="C134" s="22"/>
      <x:c r="D134" s="24"/>
      <x:c r="E134" s="24"/>
      <x:c r="F134" s="24"/>
      <x:c r="G134" s="24"/>
      <x:c r="H134" s="22"/>
      <x:c r="I134" s="22"/>
      <x:c r="J134" s="22"/>
    </x:row>
    <x:row r="135">
      <x:c r="A135" s="22"/>
      <x:c r="B135" s="28"/>
      <x:c r="C135" s="22"/>
      <x:c r="D135" s="24"/>
      <x:c r="E135" s="24"/>
      <x:c r="F135" s="24"/>
      <x:c r="G135" s="24"/>
      <x:c r="H135" s="22"/>
      <x:c r="I135" s="22"/>
      <x:c r="J135" s="22"/>
    </x:row>
    <x:row r="136">
      <x:c r="A136" s="22"/>
      <x:c r="B136" s="28"/>
      <x:c r="C136" s="22"/>
      <x:c r="D136" s="24"/>
      <x:c r="E136" s="24"/>
      <x:c r="F136" s="24"/>
      <x:c r="G136" s="24"/>
      <x:c r="H136" s="22"/>
      <x:c r="I136" s="22"/>
      <x:c r="J136" s="22"/>
    </x:row>
    <x:row r="137">
      <x:c r="A137" s="22"/>
      <x:c r="B137" s="28"/>
      <x:c r="C137" s="22"/>
      <x:c r="D137" s="24"/>
      <x:c r="E137" s="24"/>
      <x:c r="F137" s="24"/>
      <x:c r="G137" s="24"/>
      <x:c r="H137" s="22"/>
      <x:c r="I137" s="22"/>
      <x:c r="J137" s="22"/>
    </x:row>
    <x:row r="138">
      <x:c r="A138" s="22"/>
      <x:c r="B138" s="28"/>
      <x:c r="C138" s="22"/>
      <x:c r="D138" s="24"/>
      <x:c r="E138" s="24"/>
      <x:c r="F138" s="24"/>
      <x:c r="G138" s="24"/>
      <x:c r="H138" s="22"/>
      <x:c r="I138" s="22"/>
      <x:c r="J138" s="22"/>
    </x:row>
    <x:row r="139">
      <x:c r="A139" s="22"/>
      <x:c r="B139" s="28"/>
      <x:c r="C139" s="22"/>
      <x:c r="D139" s="24"/>
      <x:c r="E139" s="24"/>
      <x:c r="F139" s="24"/>
      <x:c r="G139" s="24"/>
      <x:c r="H139" s="22"/>
      <x:c r="I139" s="22"/>
      <x:c r="J139" s="22"/>
    </x:row>
    <x:row r="140">
      <x:c r="A140" s="22"/>
      <x:c r="B140" s="28"/>
      <x:c r="C140" s="22"/>
      <x:c r="D140" s="24"/>
      <x:c r="E140" s="24"/>
      <x:c r="F140" s="24"/>
      <x:c r="G140" s="24"/>
      <x:c r="H140" s="22"/>
      <x:c r="I140" s="22"/>
      <x:c r="J140" s="22"/>
    </x:row>
    <x:row r="141">
      <x:c r="A141" s="22"/>
      <x:c r="B141" s="28"/>
      <x:c r="C141" s="22"/>
      <x:c r="D141" s="24"/>
      <x:c r="E141" s="24"/>
      <x:c r="F141" s="24"/>
      <x:c r="G141" s="24"/>
      <x:c r="H141" s="22"/>
      <x:c r="I141" s="22"/>
      <x:c r="J141" s="22"/>
    </x:row>
    <x:row r="142">
      <x:c r="A142" s="22"/>
      <x:c r="B142" s="28"/>
      <x:c r="C142" s="22"/>
      <x:c r="D142" s="24"/>
      <x:c r="E142" s="24"/>
      <x:c r="F142" s="24"/>
      <x:c r="G142" s="24"/>
      <x:c r="H142" s="22"/>
      <x:c r="I142" s="22"/>
      <x:c r="J142" s="22"/>
    </x:row>
    <x:row r="143">
      <x:c r="A143" s="22"/>
      <x:c r="B143" s="28"/>
      <x:c r="C143" s="22"/>
      <x:c r="D143" s="24"/>
      <x:c r="E143" s="24"/>
      <x:c r="F143" s="24"/>
      <x:c r="G143" s="24"/>
      <x:c r="H143" s="22"/>
      <x:c r="I143" s="22"/>
      <x:c r="J143" s="22"/>
    </x:row>
    <x:row r="144">
      <x:c r="A144" s="22"/>
      <x:c r="B144" s="28"/>
      <x:c r="C144" s="22"/>
      <x:c r="D144" s="24"/>
      <x:c r="E144" s="24"/>
      <x:c r="F144" s="24"/>
      <x:c r="G144" s="24"/>
      <x:c r="H144" s="22"/>
      <x:c r="I144" s="22"/>
      <x:c r="J144" s="22"/>
    </x:row>
    <x:row r="145">
      <x:c r="A145" s="22"/>
      <x:c r="B145" s="28"/>
      <x:c r="C145" s="22"/>
      <x:c r="D145" s="24"/>
      <x:c r="E145" s="24"/>
      <x:c r="F145" s="24"/>
      <x:c r="G145" s="24"/>
      <x:c r="H145" s="22"/>
      <x:c r="I145" s="22"/>
      <x:c r="J145" s="22"/>
    </x:row>
    <x:row r="146">
      <x:c r="A146" s="22"/>
      <x:c r="B146" s="28"/>
      <x:c r="C146" s="22"/>
      <x:c r="D146" s="24"/>
      <x:c r="E146" s="24"/>
      <x:c r="F146" s="24"/>
      <x:c r="G146" s="24"/>
      <x:c r="H146" s="22"/>
      <x:c r="I146" s="22"/>
      <x:c r="J146" s="22"/>
    </x:row>
    <x:row r="147">
      <x:c r="A147" s="22"/>
      <x:c r="B147" s="28"/>
      <x:c r="C147" s="22"/>
      <x:c r="D147" s="24"/>
      <x:c r="E147" s="24"/>
      <x:c r="F147" s="24"/>
      <x:c r="G147" s="24"/>
      <x:c r="H147" s="22"/>
      <x:c r="I147" s="22"/>
      <x:c r="J147" s="22"/>
    </x:row>
    <x:row r="148">
      <x:c r="A148" s="22"/>
      <x:c r="B148" s="28"/>
      <x:c r="C148" s="22"/>
      <x:c r="D148" s="24"/>
      <x:c r="E148" s="24"/>
      <x:c r="F148" s="24"/>
      <x:c r="G148" s="24"/>
      <x:c r="H148" s="22"/>
      <x:c r="I148" s="22"/>
      <x:c r="J148" s="22"/>
    </x:row>
    <x:row r="149">
      <x:c r="A149" s="22"/>
      <x:c r="B149" s="28"/>
      <x:c r="C149" s="22"/>
      <x:c r="D149" s="24"/>
      <x:c r="E149" s="24"/>
      <x:c r="F149" s="24"/>
      <x:c r="G149" s="24"/>
      <x:c r="H149" s="22"/>
      <x:c r="I149" s="22"/>
      <x:c r="J149" s="22"/>
    </x:row>
    <x:row r="150">
      <x:c r="A150" s="22"/>
      <x:c r="B150" s="28"/>
      <x:c r="C150" s="22"/>
      <x:c r="D150" s="24"/>
      <x:c r="E150" s="24"/>
      <x:c r="F150" s="24"/>
      <x:c r="G150" s="24"/>
      <x:c r="H150" s="22"/>
      <x:c r="I150" s="22"/>
      <x:c r="J150" s="22"/>
    </x:row>
    <x:row r="151">
      <x:c r="A151" s="22"/>
      <x:c r="B151" s="28"/>
      <x:c r="C151" s="22"/>
      <x:c r="D151" s="24"/>
      <x:c r="E151" s="24"/>
      <x:c r="F151" s="24"/>
      <x:c r="G151" s="24"/>
      <x:c r="H151" s="22"/>
      <x:c r="I151" s="22"/>
      <x:c r="J151" s="22"/>
    </x:row>
    <x:row r="152">
      <x:c r="A152" s="22"/>
      <x:c r="B152" s="28"/>
      <x:c r="C152" s="22"/>
      <x:c r="D152" s="24"/>
      <x:c r="E152" s="24"/>
      <x:c r="F152" s="24"/>
      <x:c r="G152" s="24"/>
      <x:c r="H152" s="22"/>
      <x:c r="I152" s="22"/>
      <x:c r="J152" s="22"/>
    </x:row>
    <x:row r="153">
      <x:c r="A153" s="22"/>
      <x:c r="B153" s="28"/>
      <x:c r="C153" s="22"/>
      <x:c r="D153" s="24"/>
      <x:c r="E153" s="24"/>
      <x:c r="F153" s="24"/>
      <x:c r="G153" s="24"/>
      <x:c r="H153" s="22"/>
      <x:c r="I153" s="22"/>
      <x:c r="J153" s="22"/>
    </x:row>
    <x:row r="154">
      <x:c r="A154" s="22"/>
      <x:c r="B154" s="28"/>
      <x:c r="C154" s="22"/>
      <x:c r="D154" s="24"/>
      <x:c r="E154" s="24"/>
      <x:c r="F154" s="24"/>
      <x:c r="G154" s="24"/>
      <x:c r="H154" s="22"/>
      <x:c r="I154" s="22"/>
      <x:c r="J154" s="22"/>
    </x:row>
    <x:row r="155">
      <x:c r="A155" s="22"/>
      <x:c r="B155" s="28"/>
      <x:c r="C155" s="22"/>
      <x:c r="D155" s="24"/>
      <x:c r="E155" s="24"/>
      <x:c r="F155" s="24"/>
      <x:c r="G155" s="24"/>
      <x:c r="H155" s="22"/>
      <x:c r="I155" s="22"/>
      <x:c r="J155" s="22"/>
    </x:row>
    <x:row r="156">
      <x:c r="A156" s="22"/>
      <x:c r="B156" s="28"/>
      <x:c r="C156" s="22"/>
      <x:c r="D156" s="24"/>
      <x:c r="E156" s="24"/>
      <x:c r="F156" s="24"/>
      <x:c r="G156" s="24"/>
      <x:c r="H156" s="22"/>
      <x:c r="I156" s="22"/>
      <x:c r="J156" s="22"/>
    </x:row>
    <x:row r="157">
      <x:c r="A157" s="22"/>
      <x:c r="B157" s="28"/>
      <x:c r="C157" s="22"/>
      <x:c r="D157" s="24"/>
      <x:c r="E157" s="24"/>
      <x:c r="F157" s="24"/>
      <x:c r="G157" s="24"/>
      <x:c r="H157" s="22"/>
      <x:c r="I157" s="22"/>
      <x:c r="J157" s="22"/>
    </x:row>
    <x:row r="158">
      <x:c r="A158" s="22"/>
      <x:c r="B158" s="28"/>
      <x:c r="C158" s="22"/>
      <x:c r="D158" s="24"/>
      <x:c r="E158" s="24"/>
      <x:c r="F158" s="24"/>
      <x:c r="G158" s="24"/>
      <x:c r="H158" s="22"/>
      <x:c r="I158" s="22"/>
      <x:c r="J158" s="22"/>
    </x:row>
    <x:row r="159">
      <x:c r="A159" s="22"/>
      <x:c r="B159" s="28"/>
      <x:c r="C159" s="22"/>
      <x:c r="D159" s="24"/>
      <x:c r="E159" s="24"/>
      <x:c r="F159" s="24"/>
      <x:c r="G159" s="24"/>
      <x:c r="H159" s="22"/>
      <x:c r="I159" s="22"/>
      <x:c r="J159" s="22"/>
    </x:row>
    <x:row r="160">
      <x:c r="A160" s="22"/>
      <x:c r="B160" s="28"/>
      <x:c r="C160" s="22"/>
      <x:c r="D160" s="24"/>
      <x:c r="E160" s="24"/>
      <x:c r="F160" s="24"/>
      <x:c r="G160" s="24"/>
      <x:c r="H160" s="22"/>
      <x:c r="I160" s="22"/>
      <x:c r="J160" s="22"/>
    </x:row>
    <x:row r="161">
      <x:c r="A161" s="22"/>
      <x:c r="B161" s="28"/>
      <x:c r="C161" s="22"/>
      <x:c r="D161" s="24"/>
      <x:c r="E161" s="24"/>
      <x:c r="F161" s="24"/>
      <x:c r="G161" s="24"/>
      <x:c r="H161" s="22"/>
      <x:c r="I161" s="22"/>
      <x:c r="J161" s="22"/>
    </x:row>
    <x:row r="162">
      <x:c r="A162" s="22"/>
      <x:c r="B162" s="28"/>
      <x:c r="C162" s="22"/>
      <x:c r="D162" s="24"/>
      <x:c r="E162" s="24"/>
      <x:c r="F162" s="24"/>
      <x:c r="G162" s="24"/>
      <x:c r="H162" s="22"/>
      <x:c r="I162" s="22"/>
      <x:c r="J162" s="22"/>
    </x:row>
    <x:row r="163">
      <x:c r="A163" s="22"/>
      <x:c r="B163" s="28"/>
      <x:c r="C163" s="22"/>
      <x:c r="D163" s="24"/>
      <x:c r="E163" s="24"/>
      <x:c r="F163" s="24"/>
      <x:c r="G163" s="24"/>
      <x:c r="H163" s="22"/>
      <x:c r="I163" s="22"/>
      <x:c r="J163" s="22"/>
    </x:row>
    <x:row r="164">
      <x:c r="A164" s="22"/>
      <x:c r="B164" s="28"/>
      <x:c r="C164" s="22"/>
      <x:c r="D164" s="24"/>
      <x:c r="E164" s="24"/>
      <x:c r="F164" s="24"/>
      <x:c r="G164" s="24"/>
      <x:c r="H164" s="22"/>
      <x:c r="I164" s="22"/>
      <x:c r="J164" s="22"/>
    </x:row>
    <x:row r="165">
      <x:c r="A165" s="22"/>
      <x:c r="B165" s="28"/>
      <x:c r="C165" s="22"/>
      <x:c r="D165" s="24"/>
      <x:c r="E165" s="24"/>
      <x:c r="F165" s="24"/>
      <x:c r="G165" s="24"/>
      <x:c r="H165" s="22"/>
      <x:c r="I165" s="22"/>
      <x:c r="J165" s="22"/>
    </x:row>
    <x:row r="166">
      <x:c r="A166" s="22"/>
      <x:c r="B166" s="28"/>
      <x:c r="C166" s="22"/>
      <x:c r="D166" s="24"/>
      <x:c r="E166" s="24"/>
      <x:c r="F166" s="24"/>
      <x:c r="G166" s="24"/>
      <x:c r="H166" s="22"/>
      <x:c r="I166" s="22"/>
      <x:c r="J166" s="22"/>
    </x:row>
    <x:row r="167">
      <x:c r="A167" s="22"/>
      <x:c r="B167" s="28"/>
      <x:c r="C167" s="22"/>
      <x:c r="D167" s="24"/>
      <x:c r="E167" s="24"/>
      <x:c r="F167" s="24"/>
      <x:c r="G167" s="24"/>
      <x:c r="H167" s="22"/>
      <x:c r="I167" s="22"/>
      <x:c r="J167" s="22"/>
    </x:row>
    <x:row r="168">
      <x:c r="A168" s="22"/>
      <x:c r="B168" s="28"/>
      <x:c r="C168" s="22"/>
      <x:c r="D168" s="24"/>
      <x:c r="E168" s="24"/>
      <x:c r="F168" s="24"/>
      <x:c r="G168" s="24"/>
      <x:c r="H168" s="22"/>
      <x:c r="I168" s="22"/>
      <x:c r="J168" s="22"/>
    </x:row>
    <x:row r="169">
      <x:c r="A169" s="22"/>
      <x:c r="B169" s="28"/>
      <x:c r="C169" s="22"/>
      <x:c r="D169" s="24"/>
      <x:c r="E169" s="24"/>
      <x:c r="F169" s="24"/>
      <x:c r="G169" s="24"/>
      <x:c r="H169" s="22"/>
      <x:c r="I169" s="22"/>
      <x:c r="J169" s="22"/>
    </x:row>
    <x:row r="170">
      <x:c r="A170" s="22"/>
      <x:c r="B170" s="28"/>
      <x:c r="C170" s="22"/>
      <x:c r="D170" s="24"/>
      <x:c r="E170" s="24"/>
      <x:c r="F170" s="24"/>
      <x:c r="G170" s="24"/>
      <x:c r="H170" s="22"/>
      <x:c r="I170" s="22"/>
      <x:c r="J170" s="22"/>
    </x:row>
    <x:row r="171">
      <x:c r="A171" s="22"/>
      <x:c r="B171" s="28"/>
      <x:c r="C171" s="22"/>
      <x:c r="D171" s="24"/>
      <x:c r="E171" s="24"/>
      <x:c r="F171" s="24"/>
      <x:c r="G171" s="24"/>
      <x:c r="H171" s="22"/>
      <x:c r="I171" s="22"/>
      <x:c r="J171" s="22"/>
    </x:row>
    <x:row r="172">
      <x:c r="A172" s="22"/>
      <x:c r="B172" s="28"/>
      <x:c r="C172" s="22"/>
      <x:c r="D172" s="24"/>
      <x:c r="E172" s="24"/>
      <x:c r="F172" s="24"/>
      <x:c r="G172" s="24"/>
      <x:c r="H172" s="22"/>
      <x:c r="I172" s="22"/>
      <x:c r="J172" s="22"/>
    </x:row>
    <x:row r="173">
      <x:c r="A173" s="22"/>
      <x:c r="B173" s="28"/>
      <x:c r="C173" s="22"/>
      <x:c r="D173" s="24"/>
      <x:c r="E173" s="24"/>
      <x:c r="F173" s="24"/>
      <x:c r="G173" s="24"/>
      <x:c r="H173" s="22"/>
      <x:c r="I173" s="22"/>
      <x:c r="J173" s="22"/>
    </x:row>
    <x:row r="174">
      <x:c r="A174" s="22"/>
      <x:c r="B174" s="28"/>
      <x:c r="C174" s="22"/>
      <x:c r="D174" s="24"/>
      <x:c r="E174" s="24"/>
      <x:c r="F174" s="24"/>
      <x:c r="G174" s="24"/>
      <x:c r="H174" s="22"/>
      <x:c r="I174" s="22"/>
      <x:c r="J174" s="22"/>
    </x:row>
    <x:row r="175">
      <x:c r="A175" s="22"/>
      <x:c r="B175" s="28"/>
      <x:c r="C175" s="22"/>
      <x:c r="D175" s="24"/>
      <x:c r="E175" s="24"/>
      <x:c r="F175" s="24"/>
      <x:c r="G175" s="24"/>
      <x:c r="H175" s="22"/>
      <x:c r="I175" s="22"/>
      <x:c r="J175" s="22"/>
    </x:row>
    <x:row r="176">
      <x:c r="A176" s="22"/>
      <x:c r="B176" s="28"/>
      <x:c r="C176" s="22"/>
      <x:c r="D176" s="24"/>
      <x:c r="E176" s="24"/>
      <x:c r="F176" s="24"/>
      <x:c r="G176" s="24"/>
      <x:c r="H176" s="22"/>
      <x:c r="I176" s="22"/>
      <x:c r="J176" s="22"/>
    </x:row>
    <x:row r="177">
      <x:c r="A177" s="22"/>
      <x:c r="B177" s="28"/>
      <x:c r="C177" s="22"/>
      <x:c r="D177" s="24"/>
      <x:c r="E177" s="24"/>
      <x:c r="F177" s="24"/>
      <x:c r="G177" s="24"/>
      <x:c r="H177" s="22"/>
      <x:c r="I177" s="22"/>
      <x:c r="J177" s="22"/>
    </x:row>
    <x:row r="178">
      <x:c r="A178" s="22"/>
      <x:c r="B178" s="28"/>
      <x:c r="C178" s="22"/>
      <x:c r="D178" s="24"/>
      <x:c r="E178" s="24"/>
      <x:c r="F178" s="24"/>
      <x:c r="G178" s="24"/>
      <x:c r="H178" s="22"/>
      <x:c r="I178" s="22"/>
      <x:c r="J178" s="22"/>
    </x:row>
    <x:row r="179">
      <x:c r="A179" s="22"/>
      <x:c r="B179" s="28"/>
      <x:c r="C179" s="22"/>
      <x:c r="D179" s="24"/>
      <x:c r="E179" s="24"/>
      <x:c r="F179" s="24"/>
      <x:c r="G179" s="24"/>
      <x:c r="H179" s="22"/>
      <x:c r="I179" s="22"/>
      <x:c r="J179" s="22"/>
    </x:row>
    <x:row r="180">
      <x:c r="A180" s="22"/>
      <x:c r="B180" s="28"/>
      <x:c r="C180" s="22"/>
      <x:c r="D180" s="24"/>
      <x:c r="E180" s="24"/>
      <x:c r="F180" s="24"/>
      <x:c r="G180" s="24"/>
      <x:c r="H180" s="22"/>
      <x:c r="I180" s="22"/>
      <x:c r="J180" s="22"/>
    </x:row>
    <x:row r="181">
      <x:c r="A181" s="22"/>
      <x:c r="B181" s="28"/>
      <x:c r="C181" s="22"/>
      <x:c r="D181" s="24"/>
      <x:c r="E181" s="24"/>
      <x:c r="F181" s="24"/>
      <x:c r="G181" s="24"/>
      <x:c r="H181" s="22"/>
      <x:c r="I181" s="22"/>
      <x:c r="J181" s="22"/>
    </x:row>
    <x:row r="182">
      <x:c r="A182" s="22"/>
      <x:c r="B182" s="28"/>
      <x:c r="C182" s="22"/>
      <x:c r="D182" s="24"/>
      <x:c r="E182" s="24"/>
      <x:c r="F182" s="24"/>
      <x:c r="G182" s="24"/>
      <x:c r="H182" s="22"/>
      <x:c r="I182" s="22"/>
      <x:c r="J182" s="22"/>
    </x:row>
    <x:row r="183">
      <x:c r="A183" s="22"/>
      <x:c r="B183" s="28"/>
      <x:c r="C183" s="22"/>
      <x:c r="D183" s="24"/>
      <x:c r="E183" s="24"/>
      <x:c r="F183" s="24"/>
      <x:c r="G183" s="24"/>
      <x:c r="H183" s="22"/>
      <x:c r="I183" s="22"/>
      <x:c r="J183" s="22"/>
    </x:row>
    <x:row r="184">
      <x:c r="A184" s="22"/>
      <x:c r="B184" s="28"/>
      <x:c r="C184" s="22"/>
      <x:c r="D184" s="24"/>
      <x:c r="E184" s="24"/>
      <x:c r="F184" s="24"/>
      <x:c r="G184" s="24"/>
      <x:c r="H184" s="22"/>
      <x:c r="I184" s="22"/>
      <x:c r="J184" s="22"/>
    </x:row>
    <x:row r="185">
      <x:c r="A185" s="22"/>
      <x:c r="B185" s="28"/>
      <x:c r="C185" s="22"/>
      <x:c r="D185" s="24"/>
      <x:c r="E185" s="24"/>
      <x:c r="F185" s="24"/>
      <x:c r="G185" s="24"/>
      <x:c r="H185" s="22"/>
      <x:c r="I185" s="22"/>
      <x:c r="J185" s="22"/>
    </x:row>
    <x:row r="186">
      <x:c r="A186" s="22"/>
      <x:c r="B186" s="28"/>
      <x:c r="C186" s="22"/>
      <x:c r="D186" s="24"/>
      <x:c r="E186" s="24"/>
      <x:c r="F186" s="24"/>
      <x:c r="G186" s="24"/>
      <x:c r="H186" s="22"/>
      <x:c r="I186" s="22"/>
      <x:c r="J186" s="22"/>
    </x:row>
    <x:row r="187">
      <x:c r="A187" s="22"/>
      <x:c r="B187" s="28"/>
      <x:c r="C187" s="22"/>
      <x:c r="D187" s="24"/>
      <x:c r="E187" s="24"/>
      <x:c r="F187" s="24"/>
      <x:c r="G187" s="24"/>
      <x:c r="H187" s="22"/>
      <x:c r="I187" s="22"/>
      <x:c r="J187" s="22"/>
    </x:row>
    <x:row r="188">
      <x:c r="A188" s="22"/>
      <x:c r="B188" s="28"/>
      <x:c r="C188" s="22"/>
      <x:c r="D188" s="24"/>
      <x:c r="E188" s="24"/>
      <x:c r="F188" s="24"/>
      <x:c r="G188" s="24"/>
      <x:c r="H188" s="22"/>
      <x:c r="I188" s="22"/>
      <x:c r="J188" s="22"/>
    </x:row>
    <x:row r="189">
      <x:c r="A189" s="22"/>
      <x:c r="B189" s="28"/>
      <x:c r="C189" s="22"/>
      <x:c r="D189" s="24"/>
      <x:c r="E189" s="24"/>
      <x:c r="F189" s="24"/>
      <x:c r="G189" s="24"/>
      <x:c r="H189" s="22"/>
      <x:c r="I189" s="22"/>
      <x:c r="J189" s="22"/>
    </x:row>
    <x:row r="190">
      <x:c r="A190" s="22"/>
      <x:c r="B190" s="28"/>
      <x:c r="C190" s="22"/>
      <x:c r="D190" s="24"/>
      <x:c r="E190" s="24"/>
      <x:c r="F190" s="24"/>
      <x:c r="G190" s="24"/>
      <x:c r="H190" s="22"/>
      <x:c r="I190" s="22"/>
      <x:c r="J190" s="22"/>
    </x:row>
    <x:row r="191">
      <x:c r="A191" s="22"/>
      <x:c r="B191" s="28"/>
      <x:c r="C191" s="22"/>
      <x:c r="D191" s="24"/>
      <x:c r="E191" s="24"/>
      <x:c r="F191" s="24"/>
      <x:c r="G191" s="24"/>
      <x:c r="H191" s="22"/>
      <x:c r="I191" s="22"/>
      <x:c r="J191" s="22"/>
    </x:row>
    <x:row r="192">
      <x:c r="A192" s="22"/>
      <x:c r="B192" s="28"/>
      <x:c r="C192" s="22"/>
      <x:c r="D192" s="24"/>
      <x:c r="E192" s="24"/>
      <x:c r="F192" s="24"/>
      <x:c r="G192" s="24"/>
      <x:c r="H192" s="22"/>
      <x:c r="I192" s="22"/>
      <x:c r="J192" s="22"/>
    </x:row>
    <x:row r="193">
      <x:c r="A193" s="22"/>
      <x:c r="B193" s="28"/>
      <x:c r="C193" s="22"/>
      <x:c r="D193" s="24"/>
      <x:c r="E193" s="24"/>
      <x:c r="F193" s="24"/>
      <x:c r="G193" s="24"/>
      <x:c r="H193" s="22"/>
      <x:c r="I193" s="22"/>
      <x:c r="J193" s="22"/>
    </x:row>
    <x:row r="194">
      <x:c r="A194" s="22"/>
      <x:c r="B194" s="28"/>
      <x:c r="C194" s="22"/>
      <x:c r="D194" s="24"/>
      <x:c r="E194" s="24"/>
      <x:c r="F194" s="24"/>
      <x:c r="G194" s="24"/>
      <x:c r="H194" s="22"/>
      <x:c r="I194" s="22"/>
      <x:c r="J194" s="22"/>
    </x:row>
    <x:row r="195">
      <x:c r="A195" s="22"/>
      <x:c r="B195" s="28"/>
      <x:c r="C195" s="22"/>
      <x:c r="D195" s="24"/>
      <x:c r="E195" s="24"/>
      <x:c r="F195" s="24"/>
      <x:c r="G195" s="24"/>
      <x:c r="H195" s="22"/>
      <x:c r="I195" s="22"/>
      <x:c r="J195" s="22"/>
    </x:row>
    <x:row r="196">
      <x:c r="A196" s="22"/>
      <x:c r="B196" s="28"/>
      <x:c r="C196" s="22"/>
      <x:c r="D196" s="24"/>
      <x:c r="E196" s="24"/>
      <x:c r="F196" s="24"/>
      <x:c r="G196" s="24"/>
      <x:c r="H196" s="22"/>
      <x:c r="I196" s="22"/>
      <x:c r="J196" s="22"/>
    </x:row>
    <x:row r="197">
      <x:c r="A197" s="22"/>
      <x:c r="B197" s="28"/>
      <x:c r="C197" s="22"/>
      <x:c r="D197" s="24"/>
      <x:c r="E197" s="24"/>
      <x:c r="F197" s="24"/>
      <x:c r="G197" s="24"/>
      <x:c r="H197" s="22"/>
      <x:c r="I197" s="22"/>
      <x:c r="J197" s="22"/>
    </x:row>
    <x:row r="198">
      <x:c r="A198" s="22"/>
      <x:c r="B198" s="28"/>
      <x:c r="C198" s="22"/>
      <x:c r="D198" s="24"/>
      <x:c r="E198" s="24"/>
      <x:c r="F198" s="24"/>
      <x:c r="G198" s="24"/>
      <x:c r="H198" s="22"/>
      <x:c r="I198" s="22"/>
      <x:c r="J198" s="22"/>
    </x:row>
    <x:row r="199">
      <x:c r="A199" s="22"/>
      <x:c r="B199" s="28"/>
      <x:c r="C199" s="22"/>
      <x:c r="D199" s="24"/>
      <x:c r="E199" s="24"/>
      <x:c r="F199" s="24"/>
      <x:c r="G199" s="24"/>
      <x:c r="H199" s="22"/>
      <x:c r="I199" s="22"/>
      <x:c r="J199" s="22"/>
    </x:row>
    <x:row r="200">
      <x:c r="A200" s="22"/>
      <x:c r="B200" s="28"/>
      <x:c r="C200" s="22"/>
      <x:c r="D200" s="24"/>
      <x:c r="E200" s="24"/>
      <x:c r="F200" s="24"/>
      <x:c r="G200" s="24"/>
      <x:c r="H200" s="22"/>
      <x:c r="I200" s="22"/>
      <x:c r="J200" s="22"/>
    </x:row>
  </x:sheetData>
  <x:mergeCells>
    <x:mergeCell ref="A1:W1"/>
    <x:mergeCell ref="A2:W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17" hidden="0" customWidth="1"/>
    <x:col min="12" max="12" width="16" hidden="0" customWidth="1"/>
    <x:col min="13" max="13" width="15" hidden="0" customWidth="1"/>
    <x:col min="14" max="14" width="15" hidden="0" customWidth="1"/>
    <x:col min="15" max="15" width="15" hidden="0" customWidth="1"/>
    <x:col min="16" max="16" width="12" hidden="0" customWidth="1"/>
    <x:col min="17" max="17" width="14" hidden="0" customWidth="1"/>
    <x:col min="18" max="18" width="17" hidden="0" customWidth="1"/>
    <x:col min="19" max="19" width="28" hidden="0" customWidth="1"/>
  </x:cols>
  <x:sheetData>
    <x:row r="1" ht="26" customHeight="1">
      <x:c r="A1" s="3" t="str">
        <x:v>DANH MỤC ĐẦU TƯ</x:v>
      </x:c>
    </x:row>
    <x:row r="2" ht="28" customHeight="1">
      <x:c r="A2" s="8" t="str">
        <x:v>Giá trị hiện tại cập nhật thủ công theo tháng; thu nhập đầu tư gắn đúng Investment_ID.</x:v>
      </x:c>
    </x:row>
    <x:row r="4" ht="30" customHeight="1">
      <x:c r="A4" s="16" t="str">
        <x:v>Investment_ID</x:v>
      </x:c>
      <x:c r="B4" s="16" t="str">
        <x:v>Tên đầu tư</x:v>
      </x:c>
      <x:c r="C4" s="16" t="str">
        <x:v>Loại</x:v>
      </x:c>
      <x:c r="D4" s="16" t="str">
        <x:v>Chủ sở hữu</x:v>
      </x:c>
      <x:c r="E4" s="16" t="str">
        <x:v>Privacy_Tag</x:v>
      </x:c>
      <x:c r="F4" s="16" t="str">
        <x:v>Goal_ID</x:v>
      </x:c>
      <x:c r="G4" s="16" t="str">
        <x:v>Ngày bắt đầu</x:v>
      </x:c>
      <x:c r="H4" s="16" t="str">
        <x:v>Tổng vốn góp</x:v>
      </x:c>
      <x:c r="I4" s="16" t="str">
        <x:v>Tổng vốn rút</x:v>
      </x:c>
      <x:c r="J4" s="16" t="str">
        <x:v>Thu nhập nhận</x:v>
      </x:c>
      <x:c r="K4" s="16" t="str">
        <x:v>Giá trị hiện tại</x:v>
      </x:c>
      <x:c r="L4" s="16" t="str">
        <x:v>Lãi/lỗ tổng</x:v>
      </x:c>
      <x:c r="M4" s="16" t="str">
        <x:v>Tỷ suất sinh lời</x:v>
      </x:c>
      <x:c r="N4" s="16" t="str">
        <x:v>Tỷ trọng hiện tại</x:v>
      </x:c>
      <x:c r="O4" s="16" t="str">
        <x:v>Tỷ trọng mục tiêu</x:v>
      </x:c>
      <x:c r="P4" s="16" t="str">
        <x:v>Rủi ro</x:v>
      </x:c>
      <x:c r="Q4" s="16" t="str">
        <x:v>Ngày định giá</x:v>
      </x:c>
      <x:c r="R4" s="16" t="str">
        <x:v>Trạng thái</x:v>
      </x:c>
      <x:c r="S4" s="16" t="str">
        <x:v>Ghi chú</x:v>
      </x:c>
    </x:row>
    <x:row r="5">
      <x:c r="A5" s="22" t="str">
        <x:v>INV001</x:v>
      </x:c>
      <x:c r="B5" s="22" t="str">
        <x:v>Phát triển công việc</x:v>
      </x:c>
      <x:c r="C5" s="22" t="str">
        <x:v>BUSINESS</x:v>
      </x:c>
      <x:c r="D5" s="22" t="str">
        <x:v>USR001</x:v>
      </x:c>
      <x:c r="E5" s="22" t="str">
        <x:v>PERSONAL</x:v>
      </x:c>
      <x:c r="F5" s="22" t="str">
        <x:v>G004</x:v>
      </x:c>
      <x:c r="G5" s="28" t="n">
        <x:v>46204</x:v>
      </x:c>
      <x:c r="H5" s="34" t="n">
        <x:f>SUMIFS(Investment_Transactions!$G:$G,Investment_Transactions!$C:$C,A5,Investment_Transactions!$D:$D,"CONTRIBUTION",Investment_Transactions!$H:$H,"POSTED")</x:f>
        <x:v>0</x:v>
      </x:c>
      <x:c r="I5" s="34" t="n">
        <x:f>SUMIFS(Investment_Transactions!$G:$G,Investment_Transactions!$C:$C,A5,Investment_Transactions!$D:$D,"WITHDRAWAL",Investment_Transactions!$H:$H,"POSTED")</x:f>
        <x:v>0</x:v>
      </x:c>
      <x:c r="J5" s="34" t="n">
        <x:f>SUMIFS(Investment_Transactions!$G:$G,Investment_Transactions!$C:$C,A5,Investment_Transactions!$D:$D,"INCOME",Investment_Transactions!$H:$H,"POSTED")</x:f>
        <x:v>0</x:v>
      </x:c>
      <x:c r="K5" s="24" t="n">
        <x:v>0</x:v>
      </x:c>
      <x:c r="L5" s="36" t="n">
        <x:f>K5+I5+J5-H5</x:f>
        <x:v>0</x:v>
      </x:c>
      <x:c r="M5" s="42" t="n">
        <x:f>IFERROR(L5/H5,0)</x:f>
        <x:v>0</x:v>
      </x:c>
      <x:c r="N5" s="42" t="n">
        <x:f>IFERROR(K5/SUM($K$5:$K$100),0)</x:f>
        <x:v>0</x:v>
      </x:c>
      <x:c r="O5" s="26" t="n">
        <x:v>0.5</x:v>
      </x:c>
      <x:c r="P5" s="22" t="str">
        <x:v>CAO</x:v>
      </x:c>
      <x:c r="Q5" s="28" t="n">
        <x:v>46204</x:v>
      </x:c>
      <x:c r="R5" s="22" t="str">
        <x:v>Đang hoạt động</x:v>
      </x:c>
      <x:c r="S5" s="22" t="str"/>
    </x:row>
    <x:row r="6">
      <x:c r="A6" s="22" t="str">
        <x:v>INV002</x:v>
      </x:c>
      <x:c r="B6" s="22" t="str">
        <x:v>Bất động sản</x:v>
      </x:c>
      <x:c r="C6" s="22" t="str">
        <x:v>REAL_ESTATE</x:v>
      </x:c>
      <x:c r="D6" s="22" t="str">
        <x:v>USR001</x:v>
      </x:c>
      <x:c r="E6" s="22" t="str">
        <x:v>FAMILY</x:v>
      </x:c>
      <x:c r="F6" s="22" t="str">
        <x:v>G002</x:v>
      </x:c>
      <x:c r="G6" s="28" t="n">
        <x:v>46204</x:v>
      </x:c>
      <x:c r="H6" s="34" t="n">
        <x:f>SUMIFS(Investment_Transactions!$G:$G,Investment_Transactions!$C:$C,A6,Investment_Transactions!$D:$D,"CONTRIBUTION",Investment_Transactions!$H:$H,"POSTED")</x:f>
        <x:v>0</x:v>
      </x:c>
      <x:c r="I6" s="34" t="n">
        <x:f>SUMIFS(Investment_Transactions!$G:$G,Investment_Transactions!$C:$C,A6,Investment_Transactions!$D:$D,"WITHDRAWAL",Investment_Transactions!$H:$H,"POSTED")</x:f>
        <x:v>0</x:v>
      </x:c>
      <x:c r="J6" s="34" t="n">
        <x:f>SUMIFS(Investment_Transactions!$G:$G,Investment_Transactions!$C:$C,A6,Investment_Transactions!$D:$D,"INCOME",Investment_Transactions!$H:$H,"POSTED")</x:f>
        <x:v>0</x:v>
      </x:c>
      <x:c r="K6" s="24" t="n">
        <x:v>0</x:v>
      </x:c>
      <x:c r="L6" s="36" t="n">
        <x:f>K6+I6+J6-H6</x:f>
        <x:v>0</x:v>
      </x:c>
      <x:c r="M6" s="42" t="n">
        <x:f>IFERROR(L6/H6,0)</x:f>
        <x:v>0</x:v>
      </x:c>
      <x:c r="N6" s="42" t="n">
        <x:f>IFERROR(K6/SUM($K$5:$K$100),0)</x:f>
        <x:v>0</x:v>
      </x:c>
      <x:c r="O6" s="26" t="n">
        <x:v>0.3</x:v>
      </x:c>
      <x:c r="P6" s="22" t="str">
        <x:v>TRUNG BÌNH</x:v>
      </x:c>
      <x:c r="Q6" s="28" t="n">
        <x:v>46204</x:v>
      </x:c>
      <x:c r="R6" s="22" t="str">
        <x:v>Theo dõi</x:v>
      </x:c>
      <x:c r="S6" s="22" t="str"/>
    </x:row>
    <x:row r="7">
      <x:c r="A7" s="22" t="str">
        <x:v>INV003</x:v>
      </x:c>
      <x:c r="B7" s="22" t="str">
        <x:v>Đầu tư vào công ty</x:v>
      </x:c>
      <x:c r="C7" s="22" t="str">
        <x:v>COMPANY</x:v>
      </x:c>
      <x:c r="D7" s="22" t="str">
        <x:v>USR001</x:v>
      </x:c>
      <x:c r="E7" s="22" t="str">
        <x:v>PERSONAL</x:v>
      </x:c>
      <x:c r="F7" s="22" t="str">
        <x:v>G004</x:v>
      </x:c>
      <x:c r="G7" s="28" t="n">
        <x:v>46204</x:v>
      </x:c>
      <x:c r="H7" s="34" t="n">
        <x:f>SUMIFS(Investment_Transactions!$G:$G,Investment_Transactions!$C:$C,A7,Investment_Transactions!$D:$D,"CONTRIBUTION",Investment_Transactions!$H:$H,"POSTED")</x:f>
        <x:v>0</x:v>
      </x:c>
      <x:c r="I7" s="34" t="n">
        <x:f>SUMIFS(Investment_Transactions!$G:$G,Investment_Transactions!$C:$C,A7,Investment_Transactions!$D:$D,"WITHDRAWAL",Investment_Transactions!$H:$H,"POSTED")</x:f>
        <x:v>0</x:v>
      </x:c>
      <x:c r="J7" s="34" t="n">
        <x:f>SUMIFS(Investment_Transactions!$G:$G,Investment_Transactions!$C:$C,A7,Investment_Transactions!$D:$D,"INCOME",Investment_Transactions!$H:$H,"POSTED")</x:f>
        <x:v>0</x:v>
      </x:c>
      <x:c r="K7" s="24" t="n">
        <x:v>0</x:v>
      </x:c>
      <x:c r="L7" s="36" t="n">
        <x:f>K7+I7+J7-H7</x:f>
        <x:v>0</x:v>
      </x:c>
      <x:c r="M7" s="42" t="n">
        <x:f>IFERROR(L7/H7,0)</x:f>
        <x:v>0</x:v>
      </x:c>
      <x:c r="N7" s="42" t="n">
        <x:f>IFERROR(K7/SUM($K$5:$K$100),0)</x:f>
        <x:v>0</x:v>
      </x:c>
      <x:c r="O7" s="26" t="n">
        <x:v>0.2</x:v>
      </x:c>
      <x:c r="P7" s="22" t="str">
        <x:v>CAO</x:v>
      </x:c>
      <x:c r="Q7" s="28" t="n">
        <x:v>46204</x:v>
      </x:c>
      <x:c r="R7" s="22" t="str">
        <x:v>Theo dõi</x:v>
      </x:c>
      <x:c r="S7" s="22" t="str"/>
    </x:row>
    <x:row r="8">
      <x:c r="A8" s="22"/>
      <x:c r="B8" s="22"/>
      <x:c r="C8" s="22"/>
      <x:c r="D8" s="22"/>
      <x:c r="E8" s="22"/>
      <x:c r="F8" s="22"/>
      <x:c r="G8" s="28"/>
      <x:c r="H8" s="34" t="n">
        <x:f>SUMIFS(Investment_Transactions!$G:$G,Investment_Transactions!$C:$C,A8,Investment_Transactions!$D:$D,"CONTRIBUTION",Investment_Transactions!$H:$H,"POSTED")</x:f>
        <x:v>0</x:v>
      </x:c>
      <x:c r="I8" s="34" t="n">
        <x:f>SUMIFS(Investment_Transactions!$G:$G,Investment_Transactions!$C:$C,A8,Investment_Transactions!$D:$D,"WITHDRAWAL",Investment_Transactions!$H:$H,"POSTED")</x:f>
        <x:v>0</x:v>
      </x:c>
      <x:c r="J8" s="34" t="n">
        <x:f>SUMIFS(Investment_Transactions!$G:$G,Investment_Transactions!$C:$C,A8,Investment_Transactions!$D:$D,"INCOME",Investment_Transactions!$H:$H,"POSTED")</x:f>
        <x:v>0</x:v>
      </x:c>
      <x:c r="K8" s="24"/>
      <x:c r="L8" s="36" t="n">
        <x:f>K8+I8+J8-H8</x:f>
        <x:v>0</x:v>
      </x:c>
      <x:c r="M8" s="42" t="n">
        <x:f>IFERROR(L8/H8,0)</x:f>
        <x:v>0</x:v>
      </x:c>
      <x:c r="N8" s="42" t="n">
        <x:f>IFERROR(K8/SUM($K$5:$K$100),0)</x:f>
        <x:v>0</x:v>
      </x:c>
      <x:c r="O8" s="26"/>
      <x:c r="P8" s="22"/>
      <x:c r="Q8" s="28"/>
      <x:c r="R8" s="22"/>
      <x:c r="S8" s="22"/>
    </x:row>
    <x:row r="9">
      <x:c r="A9" s="22"/>
      <x:c r="B9" s="22"/>
      <x:c r="C9" s="22"/>
      <x:c r="D9" s="22"/>
      <x:c r="E9" s="22"/>
      <x:c r="F9" s="22"/>
      <x:c r="G9" s="28"/>
      <x:c r="H9" s="34" t="n">
        <x:f>SUMIFS(Investment_Transactions!$G:$G,Investment_Transactions!$C:$C,A9,Investment_Transactions!$D:$D,"CONTRIBUTION",Investment_Transactions!$H:$H,"POSTED")</x:f>
        <x:v>0</x:v>
      </x:c>
      <x:c r="I9" s="34" t="n">
        <x:f>SUMIFS(Investment_Transactions!$G:$G,Investment_Transactions!$C:$C,A9,Investment_Transactions!$D:$D,"WITHDRAWAL",Investment_Transactions!$H:$H,"POSTED")</x:f>
        <x:v>0</x:v>
      </x:c>
      <x:c r="J9" s="34" t="n">
        <x:f>SUMIFS(Investment_Transactions!$G:$G,Investment_Transactions!$C:$C,A9,Investment_Transactions!$D:$D,"INCOME",Investment_Transactions!$H:$H,"POSTED")</x:f>
        <x:v>0</x:v>
      </x:c>
      <x:c r="K9" s="24"/>
      <x:c r="L9" s="36" t="n">
        <x:f>K9+I9+J9-H9</x:f>
        <x:v>0</x:v>
      </x:c>
      <x:c r="M9" s="42" t="n">
        <x:f>IFERROR(L9/H9,0)</x:f>
        <x:v>0</x:v>
      </x:c>
      <x:c r="N9" s="42" t="n">
        <x:f>IFERROR(K9/SUM($K$5:$K$100),0)</x:f>
        <x:v>0</x:v>
      </x:c>
      <x:c r="O9" s="26"/>
      <x:c r="P9" s="22"/>
      <x:c r="Q9" s="28"/>
      <x:c r="R9" s="22"/>
      <x:c r="S9" s="22"/>
    </x:row>
    <x:row r="10">
      <x:c r="A10" s="22"/>
      <x:c r="B10" s="22"/>
      <x:c r="C10" s="22"/>
      <x:c r="D10" s="22"/>
      <x:c r="E10" s="22"/>
      <x:c r="F10" s="22"/>
      <x:c r="G10" s="28"/>
      <x:c r="H10" s="34" t="n">
        <x:f>SUMIFS(Investment_Transactions!$G:$G,Investment_Transactions!$C:$C,A10,Investment_Transactions!$D:$D,"CONTRIBUTION",Investment_Transactions!$H:$H,"POSTED")</x:f>
        <x:v>0</x:v>
      </x:c>
      <x:c r="I10" s="34" t="n">
        <x:f>SUMIFS(Investment_Transactions!$G:$G,Investment_Transactions!$C:$C,A10,Investment_Transactions!$D:$D,"WITHDRAWAL",Investment_Transactions!$H:$H,"POSTED")</x:f>
        <x:v>0</x:v>
      </x:c>
      <x:c r="J10" s="34" t="n">
        <x:f>SUMIFS(Investment_Transactions!$G:$G,Investment_Transactions!$C:$C,A10,Investment_Transactions!$D:$D,"INCOME",Investment_Transactions!$H:$H,"POSTED")</x:f>
        <x:v>0</x:v>
      </x:c>
      <x:c r="K10" s="24"/>
      <x:c r="L10" s="36" t="n">
        <x:f>K10+I10+J10-H10</x:f>
        <x:v>0</x:v>
      </x:c>
      <x:c r="M10" s="42" t="n">
        <x:f>IFERROR(L10/H10,0)</x:f>
        <x:v>0</x:v>
      </x:c>
      <x:c r="N10" s="42" t="n">
        <x:f>IFERROR(K10/SUM($K$5:$K$100),0)</x:f>
        <x:v>0</x:v>
      </x:c>
      <x:c r="O10" s="26"/>
      <x:c r="P10" s="22"/>
      <x:c r="Q10" s="28"/>
      <x:c r="R10" s="22"/>
      <x:c r="S10" s="22"/>
    </x:row>
    <x:row r="11">
      <x:c r="A11" s="22"/>
      <x:c r="B11" s="22"/>
      <x:c r="C11" s="22"/>
      <x:c r="D11" s="22"/>
      <x:c r="E11" s="22"/>
      <x:c r="F11" s="22"/>
      <x:c r="G11" s="28"/>
      <x:c r="H11" s="34" t="n">
        <x:f>SUMIFS(Investment_Transactions!$G:$G,Investment_Transactions!$C:$C,A11,Investment_Transactions!$D:$D,"CONTRIBUTION",Investment_Transactions!$H:$H,"POSTED")</x:f>
        <x:v>0</x:v>
      </x:c>
      <x:c r="I11" s="34" t="n">
        <x:f>SUMIFS(Investment_Transactions!$G:$G,Investment_Transactions!$C:$C,A11,Investment_Transactions!$D:$D,"WITHDRAWAL",Investment_Transactions!$H:$H,"POSTED")</x:f>
        <x:v>0</x:v>
      </x:c>
      <x:c r="J11" s="34" t="n">
        <x:f>SUMIFS(Investment_Transactions!$G:$G,Investment_Transactions!$C:$C,A11,Investment_Transactions!$D:$D,"INCOME",Investment_Transactions!$H:$H,"POSTED")</x:f>
        <x:v>0</x:v>
      </x:c>
      <x:c r="K11" s="24"/>
      <x:c r="L11" s="36" t="n">
        <x:f>K11+I11+J11-H11</x:f>
        <x:v>0</x:v>
      </x:c>
      <x:c r="M11" s="42" t="n">
        <x:f>IFERROR(L11/H11,0)</x:f>
        <x:v>0</x:v>
      </x:c>
      <x:c r="N11" s="42" t="n">
        <x:f>IFERROR(K11/SUM($K$5:$K$100),0)</x:f>
        <x:v>0</x:v>
      </x:c>
      <x:c r="O11" s="26"/>
      <x:c r="P11" s="22"/>
      <x:c r="Q11" s="28"/>
      <x:c r="R11" s="22"/>
      <x:c r="S11" s="22"/>
    </x:row>
    <x:row r="12">
      <x:c r="A12" s="22"/>
      <x:c r="B12" s="22"/>
      <x:c r="C12" s="22"/>
      <x:c r="D12" s="22"/>
      <x:c r="E12" s="22"/>
      <x:c r="F12" s="22"/>
      <x:c r="G12" s="28"/>
      <x:c r="H12" s="34" t="n">
        <x:f>SUMIFS(Investment_Transactions!$G:$G,Investment_Transactions!$C:$C,A12,Investment_Transactions!$D:$D,"CONTRIBUTION",Investment_Transactions!$H:$H,"POSTED")</x:f>
        <x:v>0</x:v>
      </x:c>
      <x:c r="I12" s="34" t="n">
        <x:f>SUMIFS(Investment_Transactions!$G:$G,Investment_Transactions!$C:$C,A12,Investment_Transactions!$D:$D,"WITHDRAWAL",Investment_Transactions!$H:$H,"POSTED")</x:f>
        <x:v>0</x:v>
      </x:c>
      <x:c r="J12" s="34" t="n">
        <x:f>SUMIFS(Investment_Transactions!$G:$G,Investment_Transactions!$C:$C,A12,Investment_Transactions!$D:$D,"INCOME",Investment_Transactions!$H:$H,"POSTED")</x:f>
        <x:v>0</x:v>
      </x:c>
      <x:c r="K12" s="24"/>
      <x:c r="L12" s="36" t="n">
        <x:f>K12+I12+J12-H12</x:f>
        <x:v>0</x:v>
      </x:c>
      <x:c r="M12" s="42" t="n">
        <x:f>IFERROR(L12/H12,0)</x:f>
        <x:v>0</x:v>
      </x:c>
      <x:c r="N12" s="42" t="n">
        <x:f>IFERROR(K12/SUM($K$5:$K$100),0)</x:f>
        <x:v>0</x:v>
      </x:c>
      <x:c r="O12" s="26"/>
      <x:c r="P12" s="22"/>
      <x:c r="Q12" s="28"/>
      <x:c r="R12" s="22"/>
      <x:c r="S12" s="22"/>
    </x:row>
    <x:row r="13">
      <x:c r="A13" s="22"/>
      <x:c r="B13" s="22"/>
      <x:c r="C13" s="22"/>
      <x:c r="D13" s="22"/>
      <x:c r="E13" s="22"/>
      <x:c r="F13" s="22"/>
      <x:c r="G13" s="28"/>
      <x:c r="H13" s="34" t="n">
        <x:f>SUMIFS(Investment_Transactions!$G:$G,Investment_Transactions!$C:$C,A13,Investment_Transactions!$D:$D,"CONTRIBUTION",Investment_Transactions!$H:$H,"POSTED")</x:f>
        <x:v>0</x:v>
      </x:c>
      <x:c r="I13" s="34" t="n">
        <x:f>SUMIFS(Investment_Transactions!$G:$G,Investment_Transactions!$C:$C,A13,Investment_Transactions!$D:$D,"WITHDRAWAL",Investment_Transactions!$H:$H,"POSTED")</x:f>
        <x:v>0</x:v>
      </x:c>
      <x:c r="J13" s="34" t="n">
        <x:f>SUMIFS(Investment_Transactions!$G:$G,Investment_Transactions!$C:$C,A13,Investment_Transactions!$D:$D,"INCOME",Investment_Transactions!$H:$H,"POSTED")</x:f>
        <x:v>0</x:v>
      </x:c>
      <x:c r="K13" s="24"/>
      <x:c r="L13" s="36" t="n">
        <x:f>K13+I13+J13-H13</x:f>
        <x:v>0</x:v>
      </x:c>
      <x:c r="M13" s="42" t="n">
        <x:f>IFERROR(L13/H13,0)</x:f>
        <x:v>0</x:v>
      </x:c>
      <x:c r="N13" s="42" t="n">
        <x:f>IFERROR(K13/SUM($K$5:$K$100),0)</x:f>
        <x:v>0</x:v>
      </x:c>
      <x:c r="O13" s="26"/>
      <x:c r="P13" s="22"/>
      <x:c r="Q13" s="28"/>
      <x:c r="R13" s="22"/>
      <x:c r="S13" s="22"/>
    </x:row>
    <x:row r="14">
      <x:c r="A14" s="22"/>
      <x:c r="B14" s="22"/>
      <x:c r="C14" s="22"/>
      <x:c r="D14" s="22"/>
      <x:c r="E14" s="22"/>
      <x:c r="F14" s="22"/>
      <x:c r="G14" s="28"/>
      <x:c r="H14" s="34" t="n">
        <x:f>SUMIFS(Investment_Transactions!$G:$G,Investment_Transactions!$C:$C,A14,Investment_Transactions!$D:$D,"CONTRIBUTION",Investment_Transactions!$H:$H,"POSTED")</x:f>
        <x:v>0</x:v>
      </x:c>
      <x:c r="I14" s="34" t="n">
        <x:f>SUMIFS(Investment_Transactions!$G:$G,Investment_Transactions!$C:$C,A14,Investment_Transactions!$D:$D,"WITHDRAWAL",Investment_Transactions!$H:$H,"POSTED")</x:f>
        <x:v>0</x:v>
      </x:c>
      <x:c r="J14" s="34" t="n">
        <x:f>SUMIFS(Investment_Transactions!$G:$G,Investment_Transactions!$C:$C,A14,Investment_Transactions!$D:$D,"INCOME",Investment_Transactions!$H:$H,"POSTED")</x:f>
        <x:v>0</x:v>
      </x:c>
      <x:c r="K14" s="24"/>
      <x:c r="L14" s="36" t="n">
        <x:f>K14+I14+J14-H14</x:f>
        <x:v>0</x:v>
      </x:c>
      <x:c r="M14" s="42" t="n">
        <x:f>IFERROR(L14/H14,0)</x:f>
        <x:v>0</x:v>
      </x:c>
      <x:c r="N14" s="42" t="n">
        <x:f>IFERROR(K14/SUM($K$5:$K$100),0)</x:f>
        <x:v>0</x:v>
      </x:c>
      <x:c r="O14" s="26"/>
      <x:c r="P14" s="22"/>
      <x:c r="Q14" s="28"/>
      <x:c r="R14" s="22"/>
      <x:c r="S14" s="22"/>
    </x:row>
    <x:row r="15">
      <x:c r="A15" s="22"/>
      <x:c r="B15" s="22"/>
      <x:c r="C15" s="22"/>
      <x:c r="D15" s="22"/>
      <x:c r="E15" s="22"/>
      <x:c r="F15" s="22"/>
      <x:c r="G15" s="28"/>
      <x:c r="H15" s="34" t="n">
        <x:f>SUMIFS(Investment_Transactions!$G:$G,Investment_Transactions!$C:$C,A15,Investment_Transactions!$D:$D,"CONTRIBUTION",Investment_Transactions!$H:$H,"POSTED")</x:f>
        <x:v>0</x:v>
      </x:c>
      <x:c r="I15" s="34" t="n">
        <x:f>SUMIFS(Investment_Transactions!$G:$G,Investment_Transactions!$C:$C,A15,Investment_Transactions!$D:$D,"WITHDRAWAL",Investment_Transactions!$H:$H,"POSTED")</x:f>
        <x:v>0</x:v>
      </x:c>
      <x:c r="J15" s="34" t="n">
        <x:f>SUMIFS(Investment_Transactions!$G:$G,Investment_Transactions!$C:$C,A15,Investment_Transactions!$D:$D,"INCOME",Investment_Transactions!$H:$H,"POSTED")</x:f>
        <x:v>0</x:v>
      </x:c>
      <x:c r="K15" s="24"/>
      <x:c r="L15" s="36" t="n">
        <x:f>K15+I15+J15-H15</x:f>
        <x:v>0</x:v>
      </x:c>
      <x:c r="M15" s="42" t="n">
        <x:f>IFERROR(L15/H15,0)</x:f>
        <x:v>0</x:v>
      </x:c>
      <x:c r="N15" s="42" t="n">
        <x:f>IFERROR(K15/SUM($K$5:$K$100),0)</x:f>
        <x:v>0</x:v>
      </x:c>
      <x:c r="O15" s="26"/>
      <x:c r="P15" s="22"/>
      <x:c r="Q15" s="28"/>
      <x:c r="R15" s="22"/>
      <x:c r="S15" s="22"/>
    </x:row>
    <x:row r="16">
      <x:c r="A16" s="22"/>
      <x:c r="B16" s="22"/>
      <x:c r="C16" s="22"/>
      <x:c r="D16" s="22"/>
      <x:c r="E16" s="22"/>
      <x:c r="F16" s="22"/>
      <x:c r="G16" s="28"/>
      <x:c r="H16" s="34" t="n">
        <x:f>SUMIFS(Investment_Transactions!$G:$G,Investment_Transactions!$C:$C,A16,Investment_Transactions!$D:$D,"CONTRIBUTION",Investment_Transactions!$H:$H,"POSTED")</x:f>
        <x:v>0</x:v>
      </x:c>
      <x:c r="I16" s="34" t="n">
        <x:f>SUMIFS(Investment_Transactions!$G:$G,Investment_Transactions!$C:$C,A16,Investment_Transactions!$D:$D,"WITHDRAWAL",Investment_Transactions!$H:$H,"POSTED")</x:f>
        <x:v>0</x:v>
      </x:c>
      <x:c r="J16" s="34" t="n">
        <x:f>SUMIFS(Investment_Transactions!$G:$G,Investment_Transactions!$C:$C,A16,Investment_Transactions!$D:$D,"INCOME",Investment_Transactions!$H:$H,"POSTED")</x:f>
        <x:v>0</x:v>
      </x:c>
      <x:c r="K16" s="24"/>
      <x:c r="L16" s="36" t="n">
        <x:f>K16+I16+J16-H16</x:f>
        <x:v>0</x:v>
      </x:c>
      <x:c r="M16" s="42" t="n">
        <x:f>IFERROR(L16/H16,0)</x:f>
        <x:v>0</x:v>
      </x:c>
      <x:c r="N16" s="42" t="n">
        <x:f>IFERROR(K16/SUM($K$5:$K$100),0)</x:f>
        <x:v>0</x:v>
      </x:c>
      <x:c r="O16" s="26"/>
      <x:c r="P16" s="22"/>
      <x:c r="Q16" s="28"/>
      <x:c r="R16" s="22"/>
      <x:c r="S16" s="22"/>
    </x:row>
    <x:row r="17">
      <x:c r="A17" s="22"/>
      <x:c r="B17" s="22"/>
      <x:c r="C17" s="22"/>
      <x:c r="D17" s="22"/>
      <x:c r="E17" s="22"/>
      <x:c r="F17" s="22"/>
      <x:c r="G17" s="28"/>
      <x:c r="H17" s="34" t="n">
        <x:f>SUMIFS(Investment_Transactions!$G:$G,Investment_Transactions!$C:$C,A17,Investment_Transactions!$D:$D,"CONTRIBUTION",Investment_Transactions!$H:$H,"POSTED")</x:f>
        <x:v>0</x:v>
      </x:c>
      <x:c r="I17" s="34" t="n">
        <x:f>SUMIFS(Investment_Transactions!$G:$G,Investment_Transactions!$C:$C,A17,Investment_Transactions!$D:$D,"WITHDRAWAL",Investment_Transactions!$H:$H,"POSTED")</x:f>
        <x:v>0</x:v>
      </x:c>
      <x:c r="J17" s="34" t="n">
        <x:f>SUMIFS(Investment_Transactions!$G:$G,Investment_Transactions!$C:$C,A17,Investment_Transactions!$D:$D,"INCOME",Investment_Transactions!$H:$H,"POSTED")</x:f>
        <x:v>0</x:v>
      </x:c>
      <x:c r="K17" s="24"/>
      <x:c r="L17" s="36" t="n">
        <x:f>K17+I17+J17-H17</x:f>
        <x:v>0</x:v>
      </x:c>
      <x:c r="M17" s="42" t="n">
        <x:f>IFERROR(L17/H17,0)</x:f>
        <x:v>0</x:v>
      </x:c>
      <x:c r="N17" s="42" t="n">
        <x:f>IFERROR(K17/SUM($K$5:$K$100),0)</x:f>
        <x:v>0</x:v>
      </x:c>
      <x:c r="O17" s="26"/>
      <x:c r="P17" s="22"/>
      <x:c r="Q17" s="28"/>
      <x:c r="R17" s="22"/>
      <x:c r="S17" s="22"/>
    </x:row>
    <x:row r="18">
      <x:c r="A18" s="22"/>
      <x:c r="B18" s="22"/>
      <x:c r="C18" s="22"/>
      <x:c r="D18" s="22"/>
      <x:c r="E18" s="22"/>
      <x:c r="F18" s="22"/>
      <x:c r="G18" s="28"/>
      <x:c r="H18" s="34" t="n">
        <x:f>SUMIFS(Investment_Transactions!$G:$G,Investment_Transactions!$C:$C,A18,Investment_Transactions!$D:$D,"CONTRIBUTION",Investment_Transactions!$H:$H,"POSTED")</x:f>
        <x:v>0</x:v>
      </x:c>
      <x:c r="I18" s="34" t="n">
        <x:f>SUMIFS(Investment_Transactions!$G:$G,Investment_Transactions!$C:$C,A18,Investment_Transactions!$D:$D,"WITHDRAWAL",Investment_Transactions!$H:$H,"POSTED")</x:f>
        <x:v>0</x:v>
      </x:c>
      <x:c r="J18" s="34" t="n">
        <x:f>SUMIFS(Investment_Transactions!$G:$G,Investment_Transactions!$C:$C,A18,Investment_Transactions!$D:$D,"INCOME",Investment_Transactions!$H:$H,"POSTED")</x:f>
        <x:v>0</x:v>
      </x:c>
      <x:c r="K18" s="24"/>
      <x:c r="L18" s="36" t="n">
        <x:f>K18+I18+J18-H18</x:f>
        <x:v>0</x:v>
      </x:c>
      <x:c r="M18" s="42" t="n">
        <x:f>IFERROR(L18/H18,0)</x:f>
        <x:v>0</x:v>
      </x:c>
      <x:c r="N18" s="42" t="n">
        <x:f>IFERROR(K18/SUM($K$5:$K$100),0)</x:f>
        <x:v>0</x:v>
      </x:c>
      <x:c r="O18" s="26"/>
      <x:c r="P18" s="22"/>
      <x:c r="Q18" s="28"/>
      <x:c r="R18" s="22"/>
      <x:c r="S18" s="22"/>
    </x:row>
    <x:row r="19">
      <x:c r="A19" s="22"/>
      <x:c r="B19" s="22"/>
      <x:c r="C19" s="22"/>
      <x:c r="D19" s="22"/>
      <x:c r="E19" s="22"/>
      <x:c r="F19" s="22"/>
      <x:c r="G19" s="28"/>
      <x:c r="H19" s="34" t="n">
        <x:f>SUMIFS(Investment_Transactions!$G:$G,Investment_Transactions!$C:$C,A19,Investment_Transactions!$D:$D,"CONTRIBUTION",Investment_Transactions!$H:$H,"POSTED")</x:f>
        <x:v>0</x:v>
      </x:c>
      <x:c r="I19" s="34" t="n">
        <x:f>SUMIFS(Investment_Transactions!$G:$G,Investment_Transactions!$C:$C,A19,Investment_Transactions!$D:$D,"WITHDRAWAL",Investment_Transactions!$H:$H,"POSTED")</x:f>
        <x:v>0</x:v>
      </x:c>
      <x:c r="J19" s="34" t="n">
        <x:f>SUMIFS(Investment_Transactions!$G:$G,Investment_Transactions!$C:$C,A19,Investment_Transactions!$D:$D,"INCOME",Investment_Transactions!$H:$H,"POSTED")</x:f>
        <x:v>0</x:v>
      </x:c>
      <x:c r="K19" s="24"/>
      <x:c r="L19" s="36" t="n">
        <x:f>K19+I19+J19-H19</x:f>
        <x:v>0</x:v>
      </x:c>
      <x:c r="M19" s="42" t="n">
        <x:f>IFERROR(L19/H19,0)</x:f>
        <x:v>0</x:v>
      </x:c>
      <x:c r="N19" s="42" t="n">
        <x:f>IFERROR(K19/SUM($K$5:$K$100),0)</x:f>
        <x:v>0</x:v>
      </x:c>
      <x:c r="O19" s="26"/>
      <x:c r="P19" s="22"/>
      <x:c r="Q19" s="28"/>
      <x:c r="R19" s="22"/>
      <x:c r="S19" s="22"/>
    </x:row>
    <x:row r="20">
      <x:c r="A20" s="22"/>
      <x:c r="B20" s="22"/>
      <x:c r="C20" s="22"/>
      <x:c r="D20" s="22"/>
      <x:c r="E20" s="22"/>
      <x:c r="F20" s="22"/>
      <x:c r="G20" s="28"/>
      <x:c r="H20" s="34" t="n">
        <x:f>SUMIFS(Investment_Transactions!$G:$G,Investment_Transactions!$C:$C,A20,Investment_Transactions!$D:$D,"CONTRIBUTION",Investment_Transactions!$H:$H,"POSTED")</x:f>
        <x:v>0</x:v>
      </x:c>
      <x:c r="I20" s="34" t="n">
        <x:f>SUMIFS(Investment_Transactions!$G:$G,Investment_Transactions!$C:$C,A20,Investment_Transactions!$D:$D,"WITHDRAWAL",Investment_Transactions!$H:$H,"POSTED")</x:f>
        <x:v>0</x:v>
      </x:c>
      <x:c r="J20" s="34" t="n">
        <x:f>SUMIFS(Investment_Transactions!$G:$G,Investment_Transactions!$C:$C,A20,Investment_Transactions!$D:$D,"INCOME",Investment_Transactions!$H:$H,"POSTED")</x:f>
        <x:v>0</x:v>
      </x:c>
      <x:c r="K20" s="24"/>
      <x:c r="L20" s="36" t="n">
        <x:f>K20+I20+J20-H20</x:f>
        <x:v>0</x:v>
      </x:c>
      <x:c r="M20" s="42" t="n">
        <x:f>IFERROR(L20/H20,0)</x:f>
        <x:v>0</x:v>
      </x:c>
      <x:c r="N20" s="42" t="n">
        <x:f>IFERROR(K20/SUM($K$5:$K$100),0)</x:f>
        <x:v>0</x:v>
      </x:c>
      <x:c r="O20" s="26"/>
      <x:c r="P20" s="22"/>
      <x:c r="Q20" s="28"/>
      <x:c r="R20" s="22"/>
      <x:c r="S20" s="22"/>
    </x:row>
    <x:row r="21">
      <x:c r="A21" s="22"/>
      <x:c r="B21" s="22"/>
      <x:c r="C21" s="22"/>
      <x:c r="D21" s="22"/>
      <x:c r="E21" s="22"/>
      <x:c r="F21" s="22"/>
      <x:c r="G21" s="28"/>
      <x:c r="H21" s="34" t="n">
        <x:f>SUMIFS(Investment_Transactions!$G:$G,Investment_Transactions!$C:$C,A21,Investment_Transactions!$D:$D,"CONTRIBUTION",Investment_Transactions!$H:$H,"POSTED")</x:f>
        <x:v>0</x:v>
      </x:c>
      <x:c r="I21" s="34" t="n">
        <x:f>SUMIFS(Investment_Transactions!$G:$G,Investment_Transactions!$C:$C,A21,Investment_Transactions!$D:$D,"WITHDRAWAL",Investment_Transactions!$H:$H,"POSTED")</x:f>
        <x:v>0</x:v>
      </x:c>
      <x:c r="J21" s="34" t="n">
        <x:f>SUMIFS(Investment_Transactions!$G:$G,Investment_Transactions!$C:$C,A21,Investment_Transactions!$D:$D,"INCOME",Investment_Transactions!$H:$H,"POSTED")</x:f>
        <x:v>0</x:v>
      </x:c>
      <x:c r="K21" s="24"/>
      <x:c r="L21" s="36" t="n">
        <x:f>K21+I21+J21-H21</x:f>
        <x:v>0</x:v>
      </x:c>
      <x:c r="M21" s="42" t="n">
        <x:f>IFERROR(L21/H21,0)</x:f>
        <x:v>0</x:v>
      </x:c>
      <x:c r="N21" s="42" t="n">
        <x:f>IFERROR(K21/SUM($K$5:$K$100),0)</x:f>
        <x:v>0</x:v>
      </x:c>
      <x:c r="O21" s="26"/>
      <x:c r="P21" s="22"/>
      <x:c r="Q21" s="28"/>
      <x:c r="R21" s="22"/>
      <x:c r="S21" s="22"/>
    </x:row>
    <x:row r="22">
      <x:c r="A22" s="22"/>
      <x:c r="B22" s="22"/>
      <x:c r="C22" s="22"/>
      <x:c r="D22" s="22"/>
      <x:c r="E22" s="22"/>
      <x:c r="F22" s="22"/>
      <x:c r="G22" s="28"/>
      <x:c r="H22" s="34" t="n">
        <x:f>SUMIFS(Investment_Transactions!$G:$G,Investment_Transactions!$C:$C,A22,Investment_Transactions!$D:$D,"CONTRIBUTION",Investment_Transactions!$H:$H,"POSTED")</x:f>
        <x:v>0</x:v>
      </x:c>
      <x:c r="I22" s="34" t="n">
        <x:f>SUMIFS(Investment_Transactions!$G:$G,Investment_Transactions!$C:$C,A22,Investment_Transactions!$D:$D,"WITHDRAWAL",Investment_Transactions!$H:$H,"POSTED")</x:f>
        <x:v>0</x:v>
      </x:c>
      <x:c r="J22" s="34" t="n">
        <x:f>SUMIFS(Investment_Transactions!$G:$G,Investment_Transactions!$C:$C,A22,Investment_Transactions!$D:$D,"INCOME",Investment_Transactions!$H:$H,"POSTED")</x:f>
        <x:v>0</x:v>
      </x:c>
      <x:c r="K22" s="24"/>
      <x:c r="L22" s="36" t="n">
        <x:f>K22+I22+J22-H22</x:f>
        <x:v>0</x:v>
      </x:c>
      <x:c r="M22" s="42" t="n">
        <x:f>IFERROR(L22/H22,0)</x:f>
        <x:v>0</x:v>
      </x:c>
      <x:c r="N22" s="42" t="n">
        <x:f>IFERROR(K22/SUM($K$5:$K$100),0)</x:f>
        <x:v>0</x:v>
      </x:c>
      <x:c r="O22" s="26"/>
      <x:c r="P22" s="22"/>
      <x:c r="Q22" s="28"/>
      <x:c r="R22" s="22"/>
      <x:c r="S22" s="22"/>
    </x:row>
    <x:row r="23">
      <x:c r="A23" s="22"/>
      <x:c r="B23" s="22"/>
      <x:c r="C23" s="22"/>
      <x:c r="D23" s="22"/>
      <x:c r="E23" s="22"/>
      <x:c r="F23" s="22"/>
      <x:c r="G23" s="28"/>
      <x:c r="H23" s="34" t="n">
        <x:f>SUMIFS(Investment_Transactions!$G:$G,Investment_Transactions!$C:$C,A23,Investment_Transactions!$D:$D,"CONTRIBUTION",Investment_Transactions!$H:$H,"POSTED")</x:f>
        <x:v>0</x:v>
      </x:c>
      <x:c r="I23" s="34" t="n">
        <x:f>SUMIFS(Investment_Transactions!$G:$G,Investment_Transactions!$C:$C,A23,Investment_Transactions!$D:$D,"WITHDRAWAL",Investment_Transactions!$H:$H,"POSTED")</x:f>
        <x:v>0</x:v>
      </x:c>
      <x:c r="J23" s="34" t="n">
        <x:f>SUMIFS(Investment_Transactions!$G:$G,Investment_Transactions!$C:$C,A23,Investment_Transactions!$D:$D,"INCOME",Investment_Transactions!$H:$H,"POSTED")</x:f>
        <x:v>0</x:v>
      </x:c>
      <x:c r="K23" s="24"/>
      <x:c r="L23" s="36" t="n">
        <x:f>K23+I23+J23-H23</x:f>
        <x:v>0</x:v>
      </x:c>
      <x:c r="M23" s="42" t="n">
        <x:f>IFERROR(L23/H23,0)</x:f>
        <x:v>0</x:v>
      </x:c>
      <x:c r="N23" s="42" t="n">
        <x:f>IFERROR(K23/SUM($K$5:$K$100),0)</x:f>
        <x:v>0</x:v>
      </x:c>
      <x:c r="O23" s="26"/>
      <x:c r="P23" s="22"/>
      <x:c r="Q23" s="28"/>
      <x:c r="R23" s="22"/>
      <x:c r="S23" s="22"/>
    </x:row>
    <x:row r="24">
      <x:c r="A24" s="22"/>
      <x:c r="B24" s="22"/>
      <x:c r="C24" s="22"/>
      <x:c r="D24" s="22"/>
      <x:c r="E24" s="22"/>
      <x:c r="F24" s="22"/>
      <x:c r="G24" s="28"/>
      <x:c r="H24" s="34" t="n">
        <x:f>SUMIFS(Investment_Transactions!$G:$G,Investment_Transactions!$C:$C,A24,Investment_Transactions!$D:$D,"CONTRIBUTION",Investment_Transactions!$H:$H,"POSTED")</x:f>
        <x:v>0</x:v>
      </x:c>
      <x:c r="I24" s="34" t="n">
        <x:f>SUMIFS(Investment_Transactions!$G:$G,Investment_Transactions!$C:$C,A24,Investment_Transactions!$D:$D,"WITHDRAWAL",Investment_Transactions!$H:$H,"POSTED")</x:f>
        <x:v>0</x:v>
      </x:c>
      <x:c r="J24" s="34" t="n">
        <x:f>SUMIFS(Investment_Transactions!$G:$G,Investment_Transactions!$C:$C,A24,Investment_Transactions!$D:$D,"INCOME",Investment_Transactions!$H:$H,"POSTED")</x:f>
        <x:v>0</x:v>
      </x:c>
      <x:c r="K24" s="24"/>
      <x:c r="L24" s="36" t="n">
        <x:f>K24+I24+J24-H24</x:f>
        <x:v>0</x:v>
      </x:c>
      <x:c r="M24" s="42" t="n">
        <x:f>IFERROR(L24/H24,0)</x:f>
        <x:v>0</x:v>
      </x:c>
      <x:c r="N24" s="42" t="n">
        <x:f>IFERROR(K24/SUM($K$5:$K$100),0)</x:f>
        <x:v>0</x:v>
      </x:c>
      <x:c r="O24" s="26"/>
      <x:c r="P24" s="22"/>
      <x:c r="Q24" s="28"/>
      <x:c r="R24" s="22"/>
      <x:c r="S24" s="22"/>
    </x:row>
    <x:row r="25">
      <x:c r="A25" s="22"/>
      <x:c r="B25" s="22"/>
      <x:c r="C25" s="22"/>
      <x:c r="D25" s="22"/>
      <x:c r="E25" s="22"/>
      <x:c r="F25" s="22"/>
      <x:c r="G25" s="28"/>
      <x:c r="H25" s="34" t="n">
        <x:f>SUMIFS(Investment_Transactions!$G:$G,Investment_Transactions!$C:$C,A25,Investment_Transactions!$D:$D,"CONTRIBUTION",Investment_Transactions!$H:$H,"POSTED")</x:f>
        <x:v>0</x:v>
      </x:c>
      <x:c r="I25" s="34" t="n">
        <x:f>SUMIFS(Investment_Transactions!$G:$G,Investment_Transactions!$C:$C,A25,Investment_Transactions!$D:$D,"WITHDRAWAL",Investment_Transactions!$H:$H,"POSTED")</x:f>
        <x:v>0</x:v>
      </x:c>
      <x:c r="J25" s="34" t="n">
        <x:f>SUMIFS(Investment_Transactions!$G:$G,Investment_Transactions!$C:$C,A25,Investment_Transactions!$D:$D,"INCOME",Investment_Transactions!$H:$H,"POSTED")</x:f>
        <x:v>0</x:v>
      </x:c>
      <x:c r="K25" s="24"/>
      <x:c r="L25" s="36" t="n">
        <x:f>K25+I25+J25-H25</x:f>
        <x:v>0</x:v>
      </x:c>
      <x:c r="M25" s="42" t="n">
        <x:f>IFERROR(L25/H25,0)</x:f>
        <x:v>0</x:v>
      </x:c>
      <x:c r="N25" s="42" t="n">
        <x:f>IFERROR(K25/SUM($K$5:$K$100),0)</x:f>
        <x:v>0</x:v>
      </x:c>
      <x:c r="O25" s="26"/>
      <x:c r="P25" s="22"/>
      <x:c r="Q25" s="28"/>
      <x:c r="R25" s="22"/>
      <x:c r="S25" s="22"/>
    </x:row>
    <x:row r="26">
      <x:c r="A26" s="22"/>
      <x:c r="B26" s="22"/>
      <x:c r="C26" s="22"/>
      <x:c r="D26" s="22"/>
      <x:c r="E26" s="22"/>
      <x:c r="F26" s="22"/>
      <x:c r="G26" s="28"/>
      <x:c r="H26" s="34" t="n">
        <x:f>SUMIFS(Investment_Transactions!$G:$G,Investment_Transactions!$C:$C,A26,Investment_Transactions!$D:$D,"CONTRIBUTION",Investment_Transactions!$H:$H,"POSTED")</x:f>
        <x:v>0</x:v>
      </x:c>
      <x:c r="I26" s="34" t="n">
        <x:f>SUMIFS(Investment_Transactions!$G:$G,Investment_Transactions!$C:$C,A26,Investment_Transactions!$D:$D,"WITHDRAWAL",Investment_Transactions!$H:$H,"POSTED")</x:f>
        <x:v>0</x:v>
      </x:c>
      <x:c r="J26" s="34" t="n">
        <x:f>SUMIFS(Investment_Transactions!$G:$G,Investment_Transactions!$C:$C,A26,Investment_Transactions!$D:$D,"INCOME",Investment_Transactions!$H:$H,"POSTED")</x:f>
        <x:v>0</x:v>
      </x:c>
      <x:c r="K26" s="24"/>
      <x:c r="L26" s="36" t="n">
        <x:f>K26+I26+J26-H26</x:f>
        <x:v>0</x:v>
      </x:c>
      <x:c r="M26" s="42" t="n">
        <x:f>IFERROR(L26/H26,0)</x:f>
        <x:v>0</x:v>
      </x:c>
      <x:c r="N26" s="42" t="n">
        <x:f>IFERROR(K26/SUM($K$5:$K$100),0)</x:f>
        <x:v>0</x:v>
      </x:c>
      <x:c r="O26" s="26"/>
      <x:c r="P26" s="22"/>
      <x:c r="Q26" s="28"/>
      <x:c r="R26" s="22"/>
      <x:c r="S26" s="22"/>
    </x:row>
    <x:row r="27">
      <x:c r="A27" s="22"/>
      <x:c r="B27" s="22"/>
      <x:c r="C27" s="22"/>
      <x:c r="D27" s="22"/>
      <x:c r="E27" s="22"/>
      <x:c r="F27" s="22"/>
      <x:c r="G27" s="28"/>
      <x:c r="H27" s="34" t="n">
        <x:f>SUMIFS(Investment_Transactions!$G:$G,Investment_Transactions!$C:$C,A27,Investment_Transactions!$D:$D,"CONTRIBUTION",Investment_Transactions!$H:$H,"POSTED")</x:f>
        <x:v>0</x:v>
      </x:c>
      <x:c r="I27" s="34" t="n">
        <x:f>SUMIFS(Investment_Transactions!$G:$G,Investment_Transactions!$C:$C,A27,Investment_Transactions!$D:$D,"WITHDRAWAL",Investment_Transactions!$H:$H,"POSTED")</x:f>
        <x:v>0</x:v>
      </x:c>
      <x:c r="J27" s="34" t="n">
        <x:f>SUMIFS(Investment_Transactions!$G:$G,Investment_Transactions!$C:$C,A27,Investment_Transactions!$D:$D,"INCOME",Investment_Transactions!$H:$H,"POSTED")</x:f>
        <x:v>0</x:v>
      </x:c>
      <x:c r="K27" s="24"/>
      <x:c r="L27" s="36" t="n">
        <x:f>K27+I27+J27-H27</x:f>
        <x:v>0</x:v>
      </x:c>
      <x:c r="M27" s="42" t="n">
        <x:f>IFERROR(L27/H27,0)</x:f>
        <x:v>0</x:v>
      </x:c>
      <x:c r="N27" s="42" t="n">
        <x:f>IFERROR(K27/SUM($K$5:$K$100),0)</x:f>
        <x:v>0</x:v>
      </x:c>
      <x:c r="O27" s="26"/>
      <x:c r="P27" s="22"/>
      <x:c r="Q27" s="28"/>
      <x:c r="R27" s="22"/>
      <x:c r="S27" s="22"/>
    </x:row>
    <x:row r="28">
      <x:c r="A28" s="22"/>
      <x:c r="B28" s="22"/>
      <x:c r="C28" s="22"/>
      <x:c r="D28" s="22"/>
      <x:c r="E28" s="22"/>
      <x:c r="F28" s="22"/>
      <x:c r="G28" s="28"/>
      <x:c r="H28" s="34" t="n">
        <x:f>SUMIFS(Investment_Transactions!$G:$G,Investment_Transactions!$C:$C,A28,Investment_Transactions!$D:$D,"CONTRIBUTION",Investment_Transactions!$H:$H,"POSTED")</x:f>
        <x:v>0</x:v>
      </x:c>
      <x:c r="I28" s="34" t="n">
        <x:f>SUMIFS(Investment_Transactions!$G:$G,Investment_Transactions!$C:$C,A28,Investment_Transactions!$D:$D,"WITHDRAWAL",Investment_Transactions!$H:$H,"POSTED")</x:f>
        <x:v>0</x:v>
      </x:c>
      <x:c r="J28" s="34" t="n">
        <x:f>SUMIFS(Investment_Transactions!$G:$G,Investment_Transactions!$C:$C,A28,Investment_Transactions!$D:$D,"INCOME",Investment_Transactions!$H:$H,"POSTED")</x:f>
        <x:v>0</x:v>
      </x:c>
      <x:c r="K28" s="24"/>
      <x:c r="L28" s="36" t="n">
        <x:f>K28+I28+J28-H28</x:f>
        <x:v>0</x:v>
      </x:c>
      <x:c r="M28" s="42" t="n">
        <x:f>IFERROR(L28/H28,0)</x:f>
        <x:v>0</x:v>
      </x:c>
      <x:c r="N28" s="42" t="n">
        <x:f>IFERROR(K28/SUM($K$5:$K$100),0)</x:f>
        <x:v>0</x:v>
      </x:c>
      <x:c r="O28" s="26"/>
      <x:c r="P28" s="22"/>
      <x:c r="Q28" s="28"/>
      <x:c r="R28" s="22"/>
      <x:c r="S28" s="22"/>
    </x:row>
    <x:row r="29">
      <x:c r="A29" s="22"/>
      <x:c r="B29" s="22"/>
      <x:c r="C29" s="22"/>
      <x:c r="D29" s="22"/>
      <x:c r="E29" s="22"/>
      <x:c r="F29" s="22"/>
      <x:c r="G29" s="28"/>
      <x:c r="H29" s="34" t="n">
        <x:f>SUMIFS(Investment_Transactions!$G:$G,Investment_Transactions!$C:$C,A29,Investment_Transactions!$D:$D,"CONTRIBUTION",Investment_Transactions!$H:$H,"POSTED")</x:f>
        <x:v>0</x:v>
      </x:c>
      <x:c r="I29" s="34" t="n">
        <x:f>SUMIFS(Investment_Transactions!$G:$G,Investment_Transactions!$C:$C,A29,Investment_Transactions!$D:$D,"WITHDRAWAL",Investment_Transactions!$H:$H,"POSTED")</x:f>
        <x:v>0</x:v>
      </x:c>
      <x:c r="J29" s="34" t="n">
        <x:f>SUMIFS(Investment_Transactions!$G:$G,Investment_Transactions!$C:$C,A29,Investment_Transactions!$D:$D,"INCOME",Investment_Transactions!$H:$H,"POSTED")</x:f>
        <x:v>0</x:v>
      </x:c>
      <x:c r="K29" s="24"/>
      <x:c r="L29" s="36" t="n">
        <x:f>K29+I29+J29-H29</x:f>
        <x:v>0</x:v>
      </x:c>
      <x:c r="M29" s="42" t="n">
        <x:f>IFERROR(L29/H29,0)</x:f>
        <x:v>0</x:v>
      </x:c>
      <x:c r="N29" s="42" t="n">
        <x:f>IFERROR(K29/SUM($K$5:$K$100),0)</x:f>
        <x:v>0</x:v>
      </x:c>
      <x:c r="O29" s="26"/>
      <x:c r="P29" s="22"/>
      <x:c r="Q29" s="28"/>
      <x:c r="R29" s="22"/>
      <x:c r="S29" s="22"/>
    </x:row>
    <x:row r="30">
      <x:c r="A30" s="22"/>
      <x:c r="B30" s="22"/>
      <x:c r="C30" s="22"/>
      <x:c r="D30" s="22"/>
      <x:c r="E30" s="22"/>
      <x:c r="F30" s="22"/>
      <x:c r="G30" s="28"/>
      <x:c r="H30" s="34" t="n">
        <x:f>SUMIFS(Investment_Transactions!$G:$G,Investment_Transactions!$C:$C,A30,Investment_Transactions!$D:$D,"CONTRIBUTION",Investment_Transactions!$H:$H,"POSTED")</x:f>
        <x:v>0</x:v>
      </x:c>
      <x:c r="I30" s="34" t="n">
        <x:f>SUMIFS(Investment_Transactions!$G:$G,Investment_Transactions!$C:$C,A30,Investment_Transactions!$D:$D,"WITHDRAWAL",Investment_Transactions!$H:$H,"POSTED")</x:f>
        <x:v>0</x:v>
      </x:c>
      <x:c r="J30" s="34" t="n">
        <x:f>SUMIFS(Investment_Transactions!$G:$G,Investment_Transactions!$C:$C,A30,Investment_Transactions!$D:$D,"INCOME",Investment_Transactions!$H:$H,"POSTED")</x:f>
        <x:v>0</x:v>
      </x:c>
      <x:c r="K30" s="24"/>
      <x:c r="L30" s="36" t="n">
        <x:f>K30+I30+J30-H30</x:f>
        <x:v>0</x:v>
      </x:c>
      <x:c r="M30" s="42" t="n">
        <x:f>IFERROR(L30/H30,0)</x:f>
        <x:v>0</x:v>
      </x:c>
      <x:c r="N30" s="42" t="n">
        <x:f>IFERROR(K30/SUM($K$5:$K$100),0)</x:f>
        <x:v>0</x:v>
      </x:c>
      <x:c r="O30" s="26"/>
      <x:c r="P30" s="22"/>
      <x:c r="Q30" s="28"/>
      <x:c r="R30" s="22"/>
      <x:c r="S30" s="22"/>
    </x:row>
    <x:row r="31">
      <x:c r="A31" s="22"/>
      <x:c r="B31" s="22"/>
      <x:c r="C31" s="22"/>
      <x:c r="D31" s="22"/>
      <x:c r="E31" s="22"/>
      <x:c r="F31" s="22"/>
      <x:c r="G31" s="28"/>
      <x:c r="H31" s="34" t="n">
        <x:f>SUMIFS(Investment_Transactions!$G:$G,Investment_Transactions!$C:$C,A31,Investment_Transactions!$D:$D,"CONTRIBUTION",Investment_Transactions!$H:$H,"POSTED")</x:f>
        <x:v>0</x:v>
      </x:c>
      <x:c r="I31" s="34" t="n">
        <x:f>SUMIFS(Investment_Transactions!$G:$G,Investment_Transactions!$C:$C,A31,Investment_Transactions!$D:$D,"WITHDRAWAL",Investment_Transactions!$H:$H,"POSTED")</x:f>
        <x:v>0</x:v>
      </x:c>
      <x:c r="J31" s="34" t="n">
        <x:f>SUMIFS(Investment_Transactions!$G:$G,Investment_Transactions!$C:$C,A31,Investment_Transactions!$D:$D,"INCOME",Investment_Transactions!$H:$H,"POSTED")</x:f>
        <x:v>0</x:v>
      </x:c>
      <x:c r="K31" s="24"/>
      <x:c r="L31" s="36" t="n">
        <x:f>K31+I31+J31-H31</x:f>
        <x:v>0</x:v>
      </x:c>
      <x:c r="M31" s="42" t="n">
        <x:f>IFERROR(L31/H31,0)</x:f>
        <x:v>0</x:v>
      </x:c>
      <x:c r="N31" s="42" t="n">
        <x:f>IFERROR(K31/SUM($K$5:$K$100),0)</x:f>
        <x:v>0</x:v>
      </x:c>
      <x:c r="O31" s="26"/>
      <x:c r="P31" s="22"/>
      <x:c r="Q31" s="28"/>
      <x:c r="R31" s="22"/>
      <x:c r="S31" s="22"/>
    </x:row>
    <x:row r="32">
      <x:c r="A32" s="22"/>
      <x:c r="B32" s="22"/>
      <x:c r="C32" s="22"/>
      <x:c r="D32" s="22"/>
      <x:c r="E32" s="22"/>
      <x:c r="F32" s="22"/>
      <x:c r="G32" s="28"/>
      <x:c r="H32" s="34" t="n">
        <x:f>SUMIFS(Investment_Transactions!$G:$G,Investment_Transactions!$C:$C,A32,Investment_Transactions!$D:$D,"CONTRIBUTION",Investment_Transactions!$H:$H,"POSTED")</x:f>
        <x:v>0</x:v>
      </x:c>
      <x:c r="I32" s="34" t="n">
        <x:f>SUMIFS(Investment_Transactions!$G:$G,Investment_Transactions!$C:$C,A32,Investment_Transactions!$D:$D,"WITHDRAWAL",Investment_Transactions!$H:$H,"POSTED")</x:f>
        <x:v>0</x:v>
      </x:c>
      <x:c r="J32" s="34" t="n">
        <x:f>SUMIFS(Investment_Transactions!$G:$G,Investment_Transactions!$C:$C,A32,Investment_Transactions!$D:$D,"INCOME",Investment_Transactions!$H:$H,"POSTED")</x:f>
        <x:v>0</x:v>
      </x:c>
      <x:c r="K32" s="24"/>
      <x:c r="L32" s="36" t="n">
        <x:f>K32+I32+J32-H32</x:f>
        <x:v>0</x:v>
      </x:c>
      <x:c r="M32" s="42" t="n">
        <x:f>IFERROR(L32/H32,0)</x:f>
        <x:v>0</x:v>
      </x:c>
      <x:c r="N32" s="42" t="n">
        <x:f>IFERROR(K32/SUM($K$5:$K$100),0)</x:f>
        <x:v>0</x:v>
      </x:c>
      <x:c r="O32" s="26"/>
      <x:c r="P32" s="22"/>
      <x:c r="Q32" s="28"/>
      <x:c r="R32" s="22"/>
      <x:c r="S32" s="22"/>
    </x:row>
    <x:row r="33">
      <x:c r="A33" s="22"/>
      <x:c r="B33" s="22"/>
      <x:c r="C33" s="22"/>
      <x:c r="D33" s="22"/>
      <x:c r="E33" s="22"/>
      <x:c r="F33" s="22"/>
      <x:c r="G33" s="28"/>
      <x:c r="H33" s="34" t="n">
        <x:f>SUMIFS(Investment_Transactions!$G:$G,Investment_Transactions!$C:$C,A33,Investment_Transactions!$D:$D,"CONTRIBUTION",Investment_Transactions!$H:$H,"POSTED")</x:f>
        <x:v>0</x:v>
      </x:c>
      <x:c r="I33" s="34" t="n">
        <x:f>SUMIFS(Investment_Transactions!$G:$G,Investment_Transactions!$C:$C,A33,Investment_Transactions!$D:$D,"WITHDRAWAL",Investment_Transactions!$H:$H,"POSTED")</x:f>
        <x:v>0</x:v>
      </x:c>
      <x:c r="J33" s="34" t="n">
        <x:f>SUMIFS(Investment_Transactions!$G:$G,Investment_Transactions!$C:$C,A33,Investment_Transactions!$D:$D,"INCOME",Investment_Transactions!$H:$H,"POSTED")</x:f>
        <x:v>0</x:v>
      </x:c>
      <x:c r="K33" s="24"/>
      <x:c r="L33" s="36" t="n">
        <x:f>K33+I33+J33-H33</x:f>
        <x:v>0</x:v>
      </x:c>
      <x:c r="M33" s="42" t="n">
        <x:f>IFERROR(L33/H33,0)</x:f>
        <x:v>0</x:v>
      </x:c>
      <x:c r="N33" s="42" t="n">
        <x:f>IFERROR(K33/SUM($K$5:$K$100),0)</x:f>
        <x:v>0</x:v>
      </x:c>
      <x:c r="O33" s="26"/>
      <x:c r="P33" s="22"/>
      <x:c r="Q33" s="28"/>
      <x:c r="R33" s="22"/>
      <x:c r="S33" s="22"/>
    </x:row>
    <x:row r="34">
      <x:c r="A34" s="22"/>
      <x:c r="B34" s="22"/>
      <x:c r="C34" s="22"/>
      <x:c r="D34" s="22"/>
      <x:c r="E34" s="22"/>
      <x:c r="F34" s="22"/>
      <x:c r="G34" s="28"/>
      <x:c r="H34" s="34" t="n">
        <x:f>SUMIFS(Investment_Transactions!$G:$G,Investment_Transactions!$C:$C,A34,Investment_Transactions!$D:$D,"CONTRIBUTION",Investment_Transactions!$H:$H,"POSTED")</x:f>
        <x:v>0</x:v>
      </x:c>
      <x:c r="I34" s="34" t="n">
        <x:f>SUMIFS(Investment_Transactions!$G:$G,Investment_Transactions!$C:$C,A34,Investment_Transactions!$D:$D,"WITHDRAWAL",Investment_Transactions!$H:$H,"POSTED")</x:f>
        <x:v>0</x:v>
      </x:c>
      <x:c r="J34" s="34" t="n">
        <x:f>SUMIFS(Investment_Transactions!$G:$G,Investment_Transactions!$C:$C,A34,Investment_Transactions!$D:$D,"INCOME",Investment_Transactions!$H:$H,"POSTED")</x:f>
        <x:v>0</x:v>
      </x:c>
      <x:c r="K34" s="24"/>
      <x:c r="L34" s="36" t="n">
        <x:f>K34+I34+J34-H34</x:f>
        <x:v>0</x:v>
      </x:c>
      <x:c r="M34" s="42" t="n">
        <x:f>IFERROR(L34/H34,0)</x:f>
        <x:v>0</x:v>
      </x:c>
      <x:c r="N34" s="42" t="n">
        <x:f>IFERROR(K34/SUM($K$5:$K$100),0)</x:f>
        <x:v>0</x:v>
      </x:c>
      <x:c r="O34" s="26"/>
      <x:c r="P34" s="22"/>
      <x:c r="Q34" s="28"/>
      <x:c r="R34" s="22"/>
      <x:c r="S34" s="22"/>
    </x:row>
    <x:row r="35">
      <x:c r="A35" s="22"/>
      <x:c r="B35" s="22"/>
      <x:c r="C35" s="22"/>
      <x:c r="D35" s="22"/>
      <x:c r="E35" s="22"/>
      <x:c r="F35" s="22"/>
      <x:c r="G35" s="28"/>
      <x:c r="H35" s="34" t="n">
        <x:f>SUMIFS(Investment_Transactions!$G:$G,Investment_Transactions!$C:$C,A35,Investment_Transactions!$D:$D,"CONTRIBUTION",Investment_Transactions!$H:$H,"POSTED")</x:f>
        <x:v>0</x:v>
      </x:c>
      <x:c r="I35" s="34" t="n">
        <x:f>SUMIFS(Investment_Transactions!$G:$G,Investment_Transactions!$C:$C,A35,Investment_Transactions!$D:$D,"WITHDRAWAL",Investment_Transactions!$H:$H,"POSTED")</x:f>
        <x:v>0</x:v>
      </x:c>
      <x:c r="J35" s="34" t="n">
        <x:f>SUMIFS(Investment_Transactions!$G:$G,Investment_Transactions!$C:$C,A35,Investment_Transactions!$D:$D,"INCOME",Investment_Transactions!$H:$H,"POSTED")</x:f>
        <x:v>0</x:v>
      </x:c>
      <x:c r="K35" s="24"/>
      <x:c r="L35" s="36" t="n">
        <x:f>K35+I35+J35-H35</x:f>
        <x:v>0</x:v>
      </x:c>
      <x:c r="M35" s="42" t="n">
        <x:f>IFERROR(L35/H35,0)</x:f>
        <x:v>0</x:v>
      </x:c>
      <x:c r="N35" s="42" t="n">
        <x:f>IFERROR(K35/SUM($K$5:$K$100),0)</x:f>
        <x:v>0</x:v>
      </x:c>
      <x:c r="O35" s="26"/>
      <x:c r="P35" s="22"/>
      <x:c r="Q35" s="28"/>
      <x:c r="R35" s="22"/>
      <x:c r="S35" s="22"/>
    </x:row>
    <x:row r="36">
      <x:c r="A36" s="22"/>
      <x:c r="B36" s="22"/>
      <x:c r="C36" s="22"/>
      <x:c r="D36" s="22"/>
      <x:c r="E36" s="22"/>
      <x:c r="F36" s="22"/>
      <x:c r="G36" s="28"/>
      <x:c r="H36" s="34" t="n">
        <x:f>SUMIFS(Investment_Transactions!$G:$G,Investment_Transactions!$C:$C,A36,Investment_Transactions!$D:$D,"CONTRIBUTION",Investment_Transactions!$H:$H,"POSTED")</x:f>
        <x:v>0</x:v>
      </x:c>
      <x:c r="I36" s="34" t="n">
        <x:f>SUMIFS(Investment_Transactions!$G:$G,Investment_Transactions!$C:$C,A36,Investment_Transactions!$D:$D,"WITHDRAWAL",Investment_Transactions!$H:$H,"POSTED")</x:f>
        <x:v>0</x:v>
      </x:c>
      <x:c r="J36" s="34" t="n">
        <x:f>SUMIFS(Investment_Transactions!$G:$G,Investment_Transactions!$C:$C,A36,Investment_Transactions!$D:$D,"INCOME",Investment_Transactions!$H:$H,"POSTED")</x:f>
        <x:v>0</x:v>
      </x:c>
      <x:c r="K36" s="24"/>
      <x:c r="L36" s="36" t="n">
        <x:f>K36+I36+J36-H36</x:f>
        <x:v>0</x:v>
      </x:c>
      <x:c r="M36" s="42" t="n">
        <x:f>IFERROR(L36/H36,0)</x:f>
        <x:v>0</x:v>
      </x:c>
      <x:c r="N36" s="42" t="n">
        <x:f>IFERROR(K36/SUM($K$5:$K$100),0)</x:f>
        <x:v>0</x:v>
      </x:c>
      <x:c r="O36" s="26"/>
      <x:c r="P36" s="22"/>
      <x:c r="Q36" s="28"/>
      <x:c r="R36" s="22"/>
      <x:c r="S36" s="22"/>
    </x:row>
    <x:row r="37">
      <x:c r="A37" s="22"/>
      <x:c r="B37" s="22"/>
      <x:c r="C37" s="22"/>
      <x:c r="D37" s="22"/>
      <x:c r="E37" s="22"/>
      <x:c r="F37" s="22"/>
      <x:c r="G37" s="28"/>
      <x:c r="H37" s="34" t="n">
        <x:f>SUMIFS(Investment_Transactions!$G:$G,Investment_Transactions!$C:$C,A37,Investment_Transactions!$D:$D,"CONTRIBUTION",Investment_Transactions!$H:$H,"POSTED")</x:f>
        <x:v>0</x:v>
      </x:c>
      <x:c r="I37" s="34" t="n">
        <x:f>SUMIFS(Investment_Transactions!$G:$G,Investment_Transactions!$C:$C,A37,Investment_Transactions!$D:$D,"WITHDRAWAL",Investment_Transactions!$H:$H,"POSTED")</x:f>
        <x:v>0</x:v>
      </x:c>
      <x:c r="J37" s="34" t="n">
        <x:f>SUMIFS(Investment_Transactions!$G:$G,Investment_Transactions!$C:$C,A37,Investment_Transactions!$D:$D,"INCOME",Investment_Transactions!$H:$H,"POSTED")</x:f>
        <x:v>0</x:v>
      </x:c>
      <x:c r="K37" s="24"/>
      <x:c r="L37" s="36" t="n">
        <x:f>K37+I37+J37-H37</x:f>
        <x:v>0</x:v>
      </x:c>
      <x:c r="M37" s="42" t="n">
        <x:f>IFERROR(L37/H37,0)</x:f>
        <x:v>0</x:v>
      </x:c>
      <x:c r="N37" s="42" t="n">
        <x:f>IFERROR(K37/SUM($K$5:$K$100),0)</x:f>
        <x:v>0</x:v>
      </x:c>
      <x:c r="O37" s="26"/>
      <x:c r="P37" s="22"/>
      <x:c r="Q37" s="28"/>
      <x:c r="R37" s="22"/>
      <x:c r="S37" s="22"/>
    </x:row>
    <x:row r="38">
      <x:c r="A38" s="22"/>
      <x:c r="B38" s="22"/>
      <x:c r="C38" s="22"/>
      <x:c r="D38" s="22"/>
      <x:c r="E38" s="22"/>
      <x:c r="F38" s="22"/>
      <x:c r="G38" s="28"/>
      <x:c r="H38" s="34" t="n">
        <x:f>SUMIFS(Investment_Transactions!$G:$G,Investment_Transactions!$C:$C,A38,Investment_Transactions!$D:$D,"CONTRIBUTION",Investment_Transactions!$H:$H,"POSTED")</x:f>
        <x:v>0</x:v>
      </x:c>
      <x:c r="I38" s="34" t="n">
        <x:f>SUMIFS(Investment_Transactions!$G:$G,Investment_Transactions!$C:$C,A38,Investment_Transactions!$D:$D,"WITHDRAWAL",Investment_Transactions!$H:$H,"POSTED")</x:f>
        <x:v>0</x:v>
      </x:c>
      <x:c r="J38" s="34" t="n">
        <x:f>SUMIFS(Investment_Transactions!$G:$G,Investment_Transactions!$C:$C,A38,Investment_Transactions!$D:$D,"INCOME",Investment_Transactions!$H:$H,"POSTED")</x:f>
        <x:v>0</x:v>
      </x:c>
      <x:c r="K38" s="24"/>
      <x:c r="L38" s="36" t="n">
        <x:f>K38+I38+J38-H38</x:f>
        <x:v>0</x:v>
      </x:c>
      <x:c r="M38" s="42" t="n">
        <x:f>IFERROR(L38/H38,0)</x:f>
        <x:v>0</x:v>
      </x:c>
      <x:c r="N38" s="42" t="n">
        <x:f>IFERROR(K38/SUM($K$5:$K$100),0)</x:f>
        <x:v>0</x:v>
      </x:c>
      <x:c r="O38" s="26"/>
      <x:c r="P38" s="22"/>
      <x:c r="Q38" s="28"/>
      <x:c r="R38" s="22"/>
      <x:c r="S38" s="22"/>
    </x:row>
    <x:row r="39">
      <x:c r="A39" s="22"/>
      <x:c r="B39" s="22"/>
      <x:c r="C39" s="22"/>
      <x:c r="D39" s="22"/>
      <x:c r="E39" s="22"/>
      <x:c r="F39" s="22"/>
      <x:c r="G39" s="28"/>
      <x:c r="H39" s="34" t="n">
        <x:f>SUMIFS(Investment_Transactions!$G:$G,Investment_Transactions!$C:$C,A39,Investment_Transactions!$D:$D,"CONTRIBUTION",Investment_Transactions!$H:$H,"POSTED")</x:f>
        <x:v>0</x:v>
      </x:c>
      <x:c r="I39" s="34" t="n">
        <x:f>SUMIFS(Investment_Transactions!$G:$G,Investment_Transactions!$C:$C,A39,Investment_Transactions!$D:$D,"WITHDRAWAL",Investment_Transactions!$H:$H,"POSTED")</x:f>
        <x:v>0</x:v>
      </x:c>
      <x:c r="J39" s="34" t="n">
        <x:f>SUMIFS(Investment_Transactions!$G:$G,Investment_Transactions!$C:$C,A39,Investment_Transactions!$D:$D,"INCOME",Investment_Transactions!$H:$H,"POSTED")</x:f>
        <x:v>0</x:v>
      </x:c>
      <x:c r="K39" s="24"/>
      <x:c r="L39" s="36" t="n">
        <x:f>K39+I39+J39-H39</x:f>
        <x:v>0</x:v>
      </x:c>
      <x:c r="M39" s="42" t="n">
        <x:f>IFERROR(L39/H39,0)</x:f>
        <x:v>0</x:v>
      </x:c>
      <x:c r="N39" s="42" t="n">
        <x:f>IFERROR(K39/SUM($K$5:$K$100),0)</x:f>
        <x:v>0</x:v>
      </x:c>
      <x:c r="O39" s="26"/>
      <x:c r="P39" s="22"/>
      <x:c r="Q39" s="28"/>
      <x:c r="R39" s="22"/>
      <x:c r="S39" s="22"/>
    </x:row>
    <x:row r="40">
      <x:c r="A40" s="22"/>
      <x:c r="B40" s="22"/>
      <x:c r="C40" s="22"/>
      <x:c r="D40" s="22"/>
      <x:c r="E40" s="22"/>
      <x:c r="F40" s="22"/>
      <x:c r="G40" s="28"/>
      <x:c r="H40" s="34" t="n">
        <x:f>SUMIFS(Investment_Transactions!$G:$G,Investment_Transactions!$C:$C,A40,Investment_Transactions!$D:$D,"CONTRIBUTION",Investment_Transactions!$H:$H,"POSTED")</x:f>
        <x:v>0</x:v>
      </x:c>
      <x:c r="I40" s="34" t="n">
        <x:f>SUMIFS(Investment_Transactions!$G:$G,Investment_Transactions!$C:$C,A40,Investment_Transactions!$D:$D,"WITHDRAWAL",Investment_Transactions!$H:$H,"POSTED")</x:f>
        <x:v>0</x:v>
      </x:c>
      <x:c r="J40" s="34" t="n">
        <x:f>SUMIFS(Investment_Transactions!$G:$G,Investment_Transactions!$C:$C,A40,Investment_Transactions!$D:$D,"INCOME",Investment_Transactions!$H:$H,"POSTED")</x:f>
        <x:v>0</x:v>
      </x:c>
      <x:c r="K40" s="24"/>
      <x:c r="L40" s="36" t="n">
        <x:f>K40+I40+J40-H40</x:f>
        <x:v>0</x:v>
      </x:c>
      <x:c r="M40" s="42" t="n">
        <x:f>IFERROR(L40/H40,0)</x:f>
        <x:v>0</x:v>
      </x:c>
      <x:c r="N40" s="42" t="n">
        <x:f>IFERROR(K40/SUM($K$5:$K$100),0)</x:f>
        <x:v>0</x:v>
      </x:c>
      <x:c r="O40" s="26"/>
      <x:c r="P40" s="22"/>
      <x:c r="Q40" s="28"/>
      <x:c r="R40" s="22"/>
      <x:c r="S40" s="22"/>
    </x:row>
    <x:row r="41">
      <x:c r="A41" s="22"/>
      <x:c r="B41" s="22"/>
      <x:c r="C41" s="22"/>
      <x:c r="D41" s="22"/>
      <x:c r="E41" s="22"/>
      <x:c r="F41" s="22"/>
      <x:c r="G41" s="28"/>
      <x:c r="H41" s="34" t="n">
        <x:f>SUMIFS(Investment_Transactions!$G:$G,Investment_Transactions!$C:$C,A41,Investment_Transactions!$D:$D,"CONTRIBUTION",Investment_Transactions!$H:$H,"POSTED")</x:f>
        <x:v>0</x:v>
      </x:c>
      <x:c r="I41" s="34" t="n">
        <x:f>SUMIFS(Investment_Transactions!$G:$G,Investment_Transactions!$C:$C,A41,Investment_Transactions!$D:$D,"WITHDRAWAL",Investment_Transactions!$H:$H,"POSTED")</x:f>
        <x:v>0</x:v>
      </x:c>
      <x:c r="J41" s="34" t="n">
        <x:f>SUMIFS(Investment_Transactions!$G:$G,Investment_Transactions!$C:$C,A41,Investment_Transactions!$D:$D,"INCOME",Investment_Transactions!$H:$H,"POSTED")</x:f>
        <x:v>0</x:v>
      </x:c>
      <x:c r="K41" s="24"/>
      <x:c r="L41" s="36" t="n">
        <x:f>K41+I41+J41-H41</x:f>
        <x:v>0</x:v>
      </x:c>
      <x:c r="M41" s="42" t="n">
        <x:f>IFERROR(L41/H41,0)</x:f>
        <x:v>0</x:v>
      </x:c>
      <x:c r="N41" s="42" t="n">
        <x:f>IFERROR(K41/SUM($K$5:$K$100),0)</x:f>
        <x:v>0</x:v>
      </x:c>
      <x:c r="O41" s="26"/>
      <x:c r="P41" s="22"/>
      <x:c r="Q41" s="28"/>
      <x:c r="R41" s="22"/>
      <x:c r="S41" s="22"/>
    </x:row>
    <x:row r="42">
      <x:c r="A42" s="22"/>
      <x:c r="B42" s="22"/>
      <x:c r="C42" s="22"/>
      <x:c r="D42" s="22"/>
      <x:c r="E42" s="22"/>
      <x:c r="F42" s="22"/>
      <x:c r="G42" s="28"/>
      <x:c r="H42" s="34" t="n">
        <x:f>SUMIFS(Investment_Transactions!$G:$G,Investment_Transactions!$C:$C,A42,Investment_Transactions!$D:$D,"CONTRIBUTION",Investment_Transactions!$H:$H,"POSTED")</x:f>
        <x:v>0</x:v>
      </x:c>
      <x:c r="I42" s="34" t="n">
        <x:f>SUMIFS(Investment_Transactions!$G:$G,Investment_Transactions!$C:$C,A42,Investment_Transactions!$D:$D,"WITHDRAWAL",Investment_Transactions!$H:$H,"POSTED")</x:f>
        <x:v>0</x:v>
      </x:c>
      <x:c r="J42" s="34" t="n">
        <x:f>SUMIFS(Investment_Transactions!$G:$G,Investment_Transactions!$C:$C,A42,Investment_Transactions!$D:$D,"INCOME",Investment_Transactions!$H:$H,"POSTED")</x:f>
        <x:v>0</x:v>
      </x:c>
      <x:c r="K42" s="24"/>
      <x:c r="L42" s="36" t="n">
        <x:f>K42+I42+J42-H42</x:f>
        <x:v>0</x:v>
      </x:c>
      <x:c r="M42" s="42" t="n">
        <x:f>IFERROR(L42/H42,0)</x:f>
        <x:v>0</x:v>
      </x:c>
      <x:c r="N42" s="42" t="n">
        <x:f>IFERROR(K42/SUM($K$5:$K$100),0)</x:f>
        <x:v>0</x:v>
      </x:c>
      <x:c r="O42" s="26"/>
      <x:c r="P42" s="22"/>
      <x:c r="Q42" s="28"/>
      <x:c r="R42" s="22"/>
      <x:c r="S42" s="22"/>
    </x:row>
    <x:row r="43">
      <x:c r="A43" s="22"/>
      <x:c r="B43" s="22"/>
      <x:c r="C43" s="22"/>
      <x:c r="D43" s="22"/>
      <x:c r="E43" s="22"/>
      <x:c r="F43" s="22"/>
      <x:c r="G43" s="28"/>
      <x:c r="H43" s="34" t="n">
        <x:f>SUMIFS(Investment_Transactions!$G:$G,Investment_Transactions!$C:$C,A43,Investment_Transactions!$D:$D,"CONTRIBUTION",Investment_Transactions!$H:$H,"POSTED")</x:f>
        <x:v>0</x:v>
      </x:c>
      <x:c r="I43" s="34" t="n">
        <x:f>SUMIFS(Investment_Transactions!$G:$G,Investment_Transactions!$C:$C,A43,Investment_Transactions!$D:$D,"WITHDRAWAL",Investment_Transactions!$H:$H,"POSTED")</x:f>
        <x:v>0</x:v>
      </x:c>
      <x:c r="J43" s="34" t="n">
        <x:f>SUMIFS(Investment_Transactions!$G:$G,Investment_Transactions!$C:$C,A43,Investment_Transactions!$D:$D,"INCOME",Investment_Transactions!$H:$H,"POSTED")</x:f>
        <x:v>0</x:v>
      </x:c>
      <x:c r="K43" s="24"/>
      <x:c r="L43" s="36" t="n">
        <x:f>K43+I43+J43-H43</x:f>
        <x:v>0</x:v>
      </x:c>
      <x:c r="M43" s="42" t="n">
        <x:f>IFERROR(L43/H43,0)</x:f>
        <x:v>0</x:v>
      </x:c>
      <x:c r="N43" s="42" t="n">
        <x:f>IFERROR(K43/SUM($K$5:$K$100),0)</x:f>
        <x:v>0</x:v>
      </x:c>
      <x:c r="O43" s="26"/>
      <x:c r="P43" s="22"/>
      <x:c r="Q43" s="28"/>
      <x:c r="R43" s="22"/>
      <x:c r="S43" s="22"/>
    </x:row>
    <x:row r="44">
      <x:c r="A44" s="22"/>
      <x:c r="B44" s="22"/>
      <x:c r="C44" s="22"/>
      <x:c r="D44" s="22"/>
      <x:c r="E44" s="22"/>
      <x:c r="F44" s="22"/>
      <x:c r="G44" s="28"/>
      <x:c r="H44" s="34" t="n">
        <x:f>SUMIFS(Investment_Transactions!$G:$G,Investment_Transactions!$C:$C,A44,Investment_Transactions!$D:$D,"CONTRIBUTION",Investment_Transactions!$H:$H,"POSTED")</x:f>
        <x:v>0</x:v>
      </x:c>
      <x:c r="I44" s="34" t="n">
        <x:f>SUMIFS(Investment_Transactions!$G:$G,Investment_Transactions!$C:$C,A44,Investment_Transactions!$D:$D,"WITHDRAWAL",Investment_Transactions!$H:$H,"POSTED")</x:f>
        <x:v>0</x:v>
      </x:c>
      <x:c r="J44" s="34" t="n">
        <x:f>SUMIFS(Investment_Transactions!$G:$G,Investment_Transactions!$C:$C,A44,Investment_Transactions!$D:$D,"INCOME",Investment_Transactions!$H:$H,"POSTED")</x:f>
        <x:v>0</x:v>
      </x:c>
      <x:c r="K44" s="24"/>
      <x:c r="L44" s="36" t="n">
        <x:f>K44+I44+J44-H44</x:f>
        <x:v>0</x:v>
      </x:c>
      <x:c r="M44" s="42" t="n">
        <x:f>IFERROR(L44/H44,0)</x:f>
        <x:v>0</x:v>
      </x:c>
      <x:c r="N44" s="42" t="n">
        <x:f>IFERROR(K44/SUM($K$5:$K$100),0)</x:f>
        <x:v>0</x:v>
      </x:c>
      <x:c r="O44" s="26"/>
      <x:c r="P44" s="22"/>
      <x:c r="Q44" s="28"/>
      <x:c r="R44" s="22"/>
      <x:c r="S44" s="22"/>
    </x:row>
    <x:row r="45">
      <x:c r="A45" s="22"/>
      <x:c r="B45" s="22"/>
      <x:c r="C45" s="22"/>
      <x:c r="D45" s="22"/>
      <x:c r="E45" s="22"/>
      <x:c r="F45" s="22"/>
      <x:c r="G45" s="28"/>
      <x:c r="H45" s="34" t="n">
        <x:f>SUMIFS(Investment_Transactions!$G:$G,Investment_Transactions!$C:$C,A45,Investment_Transactions!$D:$D,"CONTRIBUTION",Investment_Transactions!$H:$H,"POSTED")</x:f>
        <x:v>0</x:v>
      </x:c>
      <x:c r="I45" s="34" t="n">
        <x:f>SUMIFS(Investment_Transactions!$G:$G,Investment_Transactions!$C:$C,A45,Investment_Transactions!$D:$D,"WITHDRAWAL",Investment_Transactions!$H:$H,"POSTED")</x:f>
        <x:v>0</x:v>
      </x:c>
      <x:c r="J45" s="34" t="n">
        <x:f>SUMIFS(Investment_Transactions!$G:$G,Investment_Transactions!$C:$C,A45,Investment_Transactions!$D:$D,"INCOME",Investment_Transactions!$H:$H,"POSTED")</x:f>
        <x:v>0</x:v>
      </x:c>
      <x:c r="K45" s="24"/>
      <x:c r="L45" s="36" t="n">
        <x:f>K45+I45+J45-H45</x:f>
        <x:v>0</x:v>
      </x:c>
      <x:c r="M45" s="42" t="n">
        <x:f>IFERROR(L45/H45,0)</x:f>
        <x:v>0</x:v>
      </x:c>
      <x:c r="N45" s="42" t="n">
        <x:f>IFERROR(K45/SUM($K$5:$K$100),0)</x:f>
        <x:v>0</x:v>
      </x:c>
      <x:c r="O45" s="26"/>
      <x:c r="P45" s="22"/>
      <x:c r="Q45" s="28"/>
      <x:c r="R45" s="22"/>
      <x:c r="S45" s="22"/>
    </x:row>
    <x:row r="46">
      <x:c r="A46" s="22"/>
      <x:c r="B46" s="22"/>
      <x:c r="C46" s="22"/>
      <x:c r="D46" s="22"/>
      <x:c r="E46" s="22"/>
      <x:c r="F46" s="22"/>
      <x:c r="G46" s="28"/>
      <x:c r="H46" s="34" t="n">
        <x:f>SUMIFS(Investment_Transactions!$G:$G,Investment_Transactions!$C:$C,A46,Investment_Transactions!$D:$D,"CONTRIBUTION",Investment_Transactions!$H:$H,"POSTED")</x:f>
        <x:v>0</x:v>
      </x:c>
      <x:c r="I46" s="34" t="n">
        <x:f>SUMIFS(Investment_Transactions!$G:$G,Investment_Transactions!$C:$C,A46,Investment_Transactions!$D:$D,"WITHDRAWAL",Investment_Transactions!$H:$H,"POSTED")</x:f>
        <x:v>0</x:v>
      </x:c>
      <x:c r="J46" s="34" t="n">
        <x:f>SUMIFS(Investment_Transactions!$G:$G,Investment_Transactions!$C:$C,A46,Investment_Transactions!$D:$D,"INCOME",Investment_Transactions!$H:$H,"POSTED")</x:f>
        <x:v>0</x:v>
      </x:c>
      <x:c r="K46" s="24"/>
      <x:c r="L46" s="36" t="n">
        <x:f>K46+I46+J46-H46</x:f>
        <x:v>0</x:v>
      </x:c>
      <x:c r="M46" s="42" t="n">
        <x:f>IFERROR(L46/H46,0)</x:f>
        <x:v>0</x:v>
      </x:c>
      <x:c r="N46" s="42" t="n">
        <x:f>IFERROR(K46/SUM($K$5:$K$100),0)</x:f>
        <x:v>0</x:v>
      </x:c>
      <x:c r="O46" s="26"/>
      <x:c r="P46" s="22"/>
      <x:c r="Q46" s="28"/>
      <x:c r="R46" s="22"/>
      <x:c r="S46" s="22"/>
    </x:row>
    <x:row r="47">
      <x:c r="A47" s="22"/>
      <x:c r="B47" s="22"/>
      <x:c r="C47" s="22"/>
      <x:c r="D47" s="22"/>
      <x:c r="E47" s="22"/>
      <x:c r="F47" s="22"/>
      <x:c r="G47" s="28"/>
      <x:c r="H47" s="34" t="n">
        <x:f>SUMIFS(Investment_Transactions!$G:$G,Investment_Transactions!$C:$C,A47,Investment_Transactions!$D:$D,"CONTRIBUTION",Investment_Transactions!$H:$H,"POSTED")</x:f>
        <x:v>0</x:v>
      </x:c>
      <x:c r="I47" s="34" t="n">
        <x:f>SUMIFS(Investment_Transactions!$G:$G,Investment_Transactions!$C:$C,A47,Investment_Transactions!$D:$D,"WITHDRAWAL",Investment_Transactions!$H:$H,"POSTED")</x:f>
        <x:v>0</x:v>
      </x:c>
      <x:c r="J47" s="34" t="n">
        <x:f>SUMIFS(Investment_Transactions!$G:$G,Investment_Transactions!$C:$C,A47,Investment_Transactions!$D:$D,"INCOME",Investment_Transactions!$H:$H,"POSTED")</x:f>
        <x:v>0</x:v>
      </x:c>
      <x:c r="K47" s="24"/>
      <x:c r="L47" s="36" t="n">
        <x:f>K47+I47+J47-H47</x:f>
        <x:v>0</x:v>
      </x:c>
      <x:c r="M47" s="42" t="n">
        <x:f>IFERROR(L47/H47,0)</x:f>
        <x:v>0</x:v>
      </x:c>
      <x:c r="N47" s="42" t="n">
        <x:f>IFERROR(K47/SUM($K$5:$K$100),0)</x:f>
        <x:v>0</x:v>
      </x:c>
      <x:c r="O47" s="26"/>
      <x:c r="P47" s="22"/>
      <x:c r="Q47" s="28"/>
      <x:c r="R47" s="22"/>
      <x:c r="S47" s="22"/>
    </x:row>
    <x:row r="48">
      <x:c r="A48" s="22"/>
      <x:c r="B48" s="22"/>
      <x:c r="C48" s="22"/>
      <x:c r="D48" s="22"/>
      <x:c r="E48" s="22"/>
      <x:c r="F48" s="22"/>
      <x:c r="G48" s="28"/>
      <x:c r="H48" s="34" t="n">
        <x:f>SUMIFS(Investment_Transactions!$G:$G,Investment_Transactions!$C:$C,A48,Investment_Transactions!$D:$D,"CONTRIBUTION",Investment_Transactions!$H:$H,"POSTED")</x:f>
        <x:v>0</x:v>
      </x:c>
      <x:c r="I48" s="34" t="n">
        <x:f>SUMIFS(Investment_Transactions!$G:$G,Investment_Transactions!$C:$C,A48,Investment_Transactions!$D:$D,"WITHDRAWAL",Investment_Transactions!$H:$H,"POSTED")</x:f>
        <x:v>0</x:v>
      </x:c>
      <x:c r="J48" s="34" t="n">
        <x:f>SUMIFS(Investment_Transactions!$G:$G,Investment_Transactions!$C:$C,A48,Investment_Transactions!$D:$D,"INCOME",Investment_Transactions!$H:$H,"POSTED")</x:f>
        <x:v>0</x:v>
      </x:c>
      <x:c r="K48" s="24"/>
      <x:c r="L48" s="36" t="n">
        <x:f>K48+I48+J48-H48</x:f>
        <x:v>0</x:v>
      </x:c>
      <x:c r="M48" s="42" t="n">
        <x:f>IFERROR(L48/H48,0)</x:f>
        <x:v>0</x:v>
      </x:c>
      <x:c r="N48" s="42" t="n">
        <x:f>IFERROR(K48/SUM($K$5:$K$100),0)</x:f>
        <x:v>0</x:v>
      </x:c>
      <x:c r="O48" s="26"/>
      <x:c r="P48" s="22"/>
      <x:c r="Q48" s="28"/>
      <x:c r="R48" s="22"/>
      <x:c r="S48" s="22"/>
    </x:row>
    <x:row r="49">
      <x:c r="A49" s="22"/>
      <x:c r="B49" s="22"/>
      <x:c r="C49" s="22"/>
      <x:c r="D49" s="22"/>
      <x:c r="E49" s="22"/>
      <x:c r="F49" s="22"/>
      <x:c r="G49" s="28"/>
      <x:c r="H49" s="34" t="n">
        <x:f>SUMIFS(Investment_Transactions!$G:$G,Investment_Transactions!$C:$C,A49,Investment_Transactions!$D:$D,"CONTRIBUTION",Investment_Transactions!$H:$H,"POSTED")</x:f>
        <x:v>0</x:v>
      </x:c>
      <x:c r="I49" s="34" t="n">
        <x:f>SUMIFS(Investment_Transactions!$G:$G,Investment_Transactions!$C:$C,A49,Investment_Transactions!$D:$D,"WITHDRAWAL",Investment_Transactions!$H:$H,"POSTED")</x:f>
        <x:v>0</x:v>
      </x:c>
      <x:c r="J49" s="34" t="n">
        <x:f>SUMIFS(Investment_Transactions!$G:$G,Investment_Transactions!$C:$C,A49,Investment_Transactions!$D:$D,"INCOME",Investment_Transactions!$H:$H,"POSTED")</x:f>
        <x:v>0</x:v>
      </x:c>
      <x:c r="K49" s="24"/>
      <x:c r="L49" s="36" t="n">
        <x:f>K49+I49+J49-H49</x:f>
        <x:v>0</x:v>
      </x:c>
      <x:c r="M49" s="42" t="n">
        <x:f>IFERROR(L49/H49,0)</x:f>
        <x:v>0</x:v>
      </x:c>
      <x:c r="N49" s="42" t="n">
        <x:f>IFERROR(K49/SUM($K$5:$K$100),0)</x:f>
        <x:v>0</x:v>
      </x:c>
      <x:c r="O49" s="26"/>
      <x:c r="P49" s="22"/>
      <x:c r="Q49" s="28"/>
      <x:c r="R49" s="22"/>
      <x:c r="S49" s="22"/>
    </x:row>
    <x:row r="50">
      <x:c r="A50" s="22"/>
      <x:c r="B50" s="22"/>
      <x:c r="C50" s="22"/>
      <x:c r="D50" s="22"/>
      <x:c r="E50" s="22"/>
      <x:c r="F50" s="22"/>
      <x:c r="G50" s="28"/>
      <x:c r="H50" s="34" t="n">
        <x:f>SUMIFS(Investment_Transactions!$G:$G,Investment_Transactions!$C:$C,A50,Investment_Transactions!$D:$D,"CONTRIBUTION",Investment_Transactions!$H:$H,"POSTED")</x:f>
        <x:v>0</x:v>
      </x:c>
      <x:c r="I50" s="34" t="n">
        <x:f>SUMIFS(Investment_Transactions!$G:$G,Investment_Transactions!$C:$C,A50,Investment_Transactions!$D:$D,"WITHDRAWAL",Investment_Transactions!$H:$H,"POSTED")</x:f>
        <x:v>0</x:v>
      </x:c>
      <x:c r="J50" s="34" t="n">
        <x:f>SUMIFS(Investment_Transactions!$G:$G,Investment_Transactions!$C:$C,A50,Investment_Transactions!$D:$D,"INCOME",Investment_Transactions!$H:$H,"POSTED")</x:f>
        <x:v>0</x:v>
      </x:c>
      <x:c r="K50" s="24"/>
      <x:c r="L50" s="36" t="n">
        <x:f>K50+I50+J50-H50</x:f>
        <x:v>0</x:v>
      </x:c>
      <x:c r="M50" s="42" t="n">
        <x:f>IFERROR(L50/H50,0)</x:f>
        <x:v>0</x:v>
      </x:c>
      <x:c r="N50" s="42" t="n">
        <x:f>IFERROR(K50/SUM($K$5:$K$100),0)</x:f>
        <x:v>0</x:v>
      </x:c>
      <x:c r="O50" s="26"/>
      <x:c r="P50" s="22"/>
      <x:c r="Q50" s="28"/>
      <x:c r="R50" s="22"/>
      <x:c r="S50" s="22"/>
    </x:row>
    <x:row r="51">
      <x:c r="A51" s="22"/>
      <x:c r="B51" s="22"/>
      <x:c r="C51" s="22"/>
      <x:c r="D51" s="22"/>
      <x:c r="E51" s="22"/>
      <x:c r="F51" s="22"/>
      <x:c r="G51" s="28"/>
      <x:c r="H51" s="34" t="n">
        <x:f>SUMIFS(Investment_Transactions!$G:$G,Investment_Transactions!$C:$C,A51,Investment_Transactions!$D:$D,"CONTRIBUTION",Investment_Transactions!$H:$H,"POSTED")</x:f>
        <x:v>0</x:v>
      </x:c>
      <x:c r="I51" s="34" t="n">
        <x:f>SUMIFS(Investment_Transactions!$G:$G,Investment_Transactions!$C:$C,A51,Investment_Transactions!$D:$D,"WITHDRAWAL",Investment_Transactions!$H:$H,"POSTED")</x:f>
        <x:v>0</x:v>
      </x:c>
      <x:c r="J51" s="34" t="n">
        <x:f>SUMIFS(Investment_Transactions!$G:$G,Investment_Transactions!$C:$C,A51,Investment_Transactions!$D:$D,"INCOME",Investment_Transactions!$H:$H,"POSTED")</x:f>
        <x:v>0</x:v>
      </x:c>
      <x:c r="K51" s="24"/>
      <x:c r="L51" s="36" t="n">
        <x:f>K51+I51+J51-H51</x:f>
        <x:v>0</x:v>
      </x:c>
      <x:c r="M51" s="42" t="n">
        <x:f>IFERROR(L51/H51,0)</x:f>
        <x:v>0</x:v>
      </x:c>
      <x:c r="N51" s="42" t="n">
        <x:f>IFERROR(K51/SUM($K$5:$K$100),0)</x:f>
        <x:v>0</x:v>
      </x:c>
      <x:c r="O51" s="26"/>
      <x:c r="P51" s="22"/>
      <x:c r="Q51" s="28"/>
      <x:c r="R51" s="22"/>
      <x:c r="S51" s="22"/>
    </x:row>
    <x:row r="52">
      <x:c r="A52" s="22"/>
      <x:c r="B52" s="22"/>
      <x:c r="C52" s="22"/>
      <x:c r="D52" s="22"/>
      <x:c r="E52" s="22"/>
      <x:c r="F52" s="22"/>
      <x:c r="G52" s="28"/>
      <x:c r="H52" s="34" t="n">
        <x:f>SUMIFS(Investment_Transactions!$G:$G,Investment_Transactions!$C:$C,A52,Investment_Transactions!$D:$D,"CONTRIBUTION",Investment_Transactions!$H:$H,"POSTED")</x:f>
        <x:v>0</x:v>
      </x:c>
      <x:c r="I52" s="34" t="n">
        <x:f>SUMIFS(Investment_Transactions!$G:$G,Investment_Transactions!$C:$C,A52,Investment_Transactions!$D:$D,"WITHDRAWAL",Investment_Transactions!$H:$H,"POSTED")</x:f>
        <x:v>0</x:v>
      </x:c>
      <x:c r="J52" s="34" t="n">
        <x:f>SUMIFS(Investment_Transactions!$G:$G,Investment_Transactions!$C:$C,A52,Investment_Transactions!$D:$D,"INCOME",Investment_Transactions!$H:$H,"POSTED")</x:f>
        <x:v>0</x:v>
      </x:c>
      <x:c r="K52" s="24"/>
      <x:c r="L52" s="36" t="n">
        <x:f>K52+I52+J52-H52</x:f>
        <x:v>0</x:v>
      </x:c>
      <x:c r="M52" s="42" t="n">
        <x:f>IFERROR(L52/H52,0)</x:f>
        <x:v>0</x:v>
      </x:c>
      <x:c r="N52" s="42" t="n">
        <x:f>IFERROR(K52/SUM($K$5:$K$100),0)</x:f>
        <x:v>0</x:v>
      </x:c>
      <x:c r="O52" s="26"/>
      <x:c r="P52" s="22"/>
      <x:c r="Q52" s="28"/>
      <x:c r="R52" s="22"/>
      <x:c r="S52" s="22"/>
    </x:row>
    <x:row r="53">
      <x:c r="A53" s="22"/>
      <x:c r="B53" s="22"/>
      <x:c r="C53" s="22"/>
      <x:c r="D53" s="22"/>
      <x:c r="E53" s="22"/>
      <x:c r="F53" s="22"/>
      <x:c r="G53" s="28"/>
      <x:c r="H53" s="34" t="n">
        <x:f>SUMIFS(Investment_Transactions!$G:$G,Investment_Transactions!$C:$C,A53,Investment_Transactions!$D:$D,"CONTRIBUTION",Investment_Transactions!$H:$H,"POSTED")</x:f>
        <x:v>0</x:v>
      </x:c>
      <x:c r="I53" s="34" t="n">
        <x:f>SUMIFS(Investment_Transactions!$G:$G,Investment_Transactions!$C:$C,A53,Investment_Transactions!$D:$D,"WITHDRAWAL",Investment_Transactions!$H:$H,"POSTED")</x:f>
        <x:v>0</x:v>
      </x:c>
      <x:c r="J53" s="34" t="n">
        <x:f>SUMIFS(Investment_Transactions!$G:$G,Investment_Transactions!$C:$C,A53,Investment_Transactions!$D:$D,"INCOME",Investment_Transactions!$H:$H,"POSTED")</x:f>
        <x:v>0</x:v>
      </x:c>
      <x:c r="K53" s="24"/>
      <x:c r="L53" s="36" t="n">
        <x:f>K53+I53+J53-H53</x:f>
        <x:v>0</x:v>
      </x:c>
      <x:c r="M53" s="42" t="n">
        <x:f>IFERROR(L53/H53,0)</x:f>
        <x:v>0</x:v>
      </x:c>
      <x:c r="N53" s="42" t="n">
        <x:f>IFERROR(K53/SUM($K$5:$K$100),0)</x:f>
        <x:v>0</x:v>
      </x:c>
      <x:c r="O53" s="26"/>
      <x:c r="P53" s="22"/>
      <x:c r="Q53" s="28"/>
      <x:c r="R53" s="22"/>
      <x:c r="S53" s="22"/>
    </x:row>
    <x:row r="54">
      <x:c r="A54" s="22"/>
      <x:c r="B54" s="22"/>
      <x:c r="C54" s="22"/>
      <x:c r="D54" s="22"/>
      <x:c r="E54" s="22"/>
      <x:c r="F54" s="22"/>
      <x:c r="G54" s="28"/>
      <x:c r="H54" s="34" t="n">
        <x:f>SUMIFS(Investment_Transactions!$G:$G,Investment_Transactions!$C:$C,A54,Investment_Transactions!$D:$D,"CONTRIBUTION",Investment_Transactions!$H:$H,"POSTED")</x:f>
        <x:v>0</x:v>
      </x:c>
      <x:c r="I54" s="34" t="n">
        <x:f>SUMIFS(Investment_Transactions!$G:$G,Investment_Transactions!$C:$C,A54,Investment_Transactions!$D:$D,"WITHDRAWAL",Investment_Transactions!$H:$H,"POSTED")</x:f>
        <x:v>0</x:v>
      </x:c>
      <x:c r="J54" s="34" t="n">
        <x:f>SUMIFS(Investment_Transactions!$G:$G,Investment_Transactions!$C:$C,A54,Investment_Transactions!$D:$D,"INCOME",Investment_Transactions!$H:$H,"POSTED")</x:f>
        <x:v>0</x:v>
      </x:c>
      <x:c r="K54" s="24"/>
      <x:c r="L54" s="36" t="n">
        <x:f>K54+I54+J54-H54</x:f>
        <x:v>0</x:v>
      </x:c>
      <x:c r="M54" s="42" t="n">
        <x:f>IFERROR(L54/H54,0)</x:f>
        <x:v>0</x:v>
      </x:c>
      <x:c r="N54" s="42" t="n">
        <x:f>IFERROR(K54/SUM($K$5:$K$100),0)</x:f>
        <x:v>0</x:v>
      </x:c>
      <x:c r="O54" s="26"/>
      <x:c r="P54" s="22"/>
      <x:c r="Q54" s="28"/>
      <x:c r="R54" s="22"/>
      <x:c r="S54" s="22"/>
    </x:row>
    <x:row r="55">
      <x:c r="A55" s="22"/>
      <x:c r="B55" s="22"/>
      <x:c r="C55" s="22"/>
      <x:c r="D55" s="22"/>
      <x:c r="E55" s="22"/>
      <x:c r="F55" s="22"/>
      <x:c r="G55" s="28"/>
      <x:c r="H55" s="34" t="n">
        <x:f>SUMIFS(Investment_Transactions!$G:$G,Investment_Transactions!$C:$C,A55,Investment_Transactions!$D:$D,"CONTRIBUTION",Investment_Transactions!$H:$H,"POSTED")</x:f>
        <x:v>0</x:v>
      </x:c>
      <x:c r="I55" s="34" t="n">
        <x:f>SUMIFS(Investment_Transactions!$G:$G,Investment_Transactions!$C:$C,A55,Investment_Transactions!$D:$D,"WITHDRAWAL",Investment_Transactions!$H:$H,"POSTED")</x:f>
        <x:v>0</x:v>
      </x:c>
      <x:c r="J55" s="34" t="n">
        <x:f>SUMIFS(Investment_Transactions!$G:$G,Investment_Transactions!$C:$C,A55,Investment_Transactions!$D:$D,"INCOME",Investment_Transactions!$H:$H,"POSTED")</x:f>
        <x:v>0</x:v>
      </x:c>
      <x:c r="K55" s="24"/>
      <x:c r="L55" s="36" t="n">
        <x:f>K55+I55+J55-H55</x:f>
        <x:v>0</x:v>
      </x:c>
      <x:c r="M55" s="42" t="n">
        <x:f>IFERROR(L55/H55,0)</x:f>
        <x:v>0</x:v>
      </x:c>
      <x:c r="N55" s="42" t="n">
        <x:f>IFERROR(K55/SUM($K$5:$K$100),0)</x:f>
        <x:v>0</x:v>
      </x:c>
      <x:c r="O55" s="26"/>
      <x:c r="P55" s="22"/>
      <x:c r="Q55" s="28"/>
      <x:c r="R55" s="22"/>
      <x:c r="S55" s="22"/>
    </x:row>
    <x:row r="56">
      <x:c r="A56" s="22"/>
      <x:c r="B56" s="22"/>
      <x:c r="C56" s="22"/>
      <x:c r="D56" s="22"/>
      <x:c r="E56" s="22"/>
      <x:c r="F56" s="22"/>
      <x:c r="G56" s="28"/>
      <x:c r="H56" s="34" t="n">
        <x:f>SUMIFS(Investment_Transactions!$G:$G,Investment_Transactions!$C:$C,A56,Investment_Transactions!$D:$D,"CONTRIBUTION",Investment_Transactions!$H:$H,"POSTED")</x:f>
        <x:v>0</x:v>
      </x:c>
      <x:c r="I56" s="34" t="n">
        <x:f>SUMIFS(Investment_Transactions!$G:$G,Investment_Transactions!$C:$C,A56,Investment_Transactions!$D:$D,"WITHDRAWAL",Investment_Transactions!$H:$H,"POSTED")</x:f>
        <x:v>0</x:v>
      </x:c>
      <x:c r="J56" s="34" t="n">
        <x:f>SUMIFS(Investment_Transactions!$G:$G,Investment_Transactions!$C:$C,A56,Investment_Transactions!$D:$D,"INCOME",Investment_Transactions!$H:$H,"POSTED")</x:f>
        <x:v>0</x:v>
      </x:c>
      <x:c r="K56" s="24"/>
      <x:c r="L56" s="36" t="n">
        <x:f>K56+I56+J56-H56</x:f>
        <x:v>0</x:v>
      </x:c>
      <x:c r="M56" s="42" t="n">
        <x:f>IFERROR(L56/H56,0)</x:f>
        <x:v>0</x:v>
      </x:c>
      <x:c r="N56" s="42" t="n">
        <x:f>IFERROR(K56/SUM($K$5:$K$100),0)</x:f>
        <x:v>0</x:v>
      </x:c>
      <x:c r="O56" s="26"/>
      <x:c r="P56" s="22"/>
      <x:c r="Q56" s="28"/>
      <x:c r="R56" s="22"/>
      <x:c r="S56" s="22"/>
    </x:row>
    <x:row r="57">
      <x:c r="A57" s="22"/>
      <x:c r="B57" s="22"/>
      <x:c r="C57" s="22"/>
      <x:c r="D57" s="22"/>
      <x:c r="E57" s="22"/>
      <x:c r="F57" s="22"/>
      <x:c r="G57" s="28"/>
      <x:c r="H57" s="34" t="n">
        <x:f>SUMIFS(Investment_Transactions!$G:$G,Investment_Transactions!$C:$C,A57,Investment_Transactions!$D:$D,"CONTRIBUTION",Investment_Transactions!$H:$H,"POSTED")</x:f>
        <x:v>0</x:v>
      </x:c>
      <x:c r="I57" s="34" t="n">
        <x:f>SUMIFS(Investment_Transactions!$G:$G,Investment_Transactions!$C:$C,A57,Investment_Transactions!$D:$D,"WITHDRAWAL",Investment_Transactions!$H:$H,"POSTED")</x:f>
        <x:v>0</x:v>
      </x:c>
      <x:c r="J57" s="34" t="n">
        <x:f>SUMIFS(Investment_Transactions!$G:$G,Investment_Transactions!$C:$C,A57,Investment_Transactions!$D:$D,"INCOME",Investment_Transactions!$H:$H,"POSTED")</x:f>
        <x:v>0</x:v>
      </x:c>
      <x:c r="K57" s="24"/>
      <x:c r="L57" s="36" t="n">
        <x:f>K57+I57+J57-H57</x:f>
        <x:v>0</x:v>
      </x:c>
      <x:c r="M57" s="42" t="n">
        <x:f>IFERROR(L57/H57,0)</x:f>
        <x:v>0</x:v>
      </x:c>
      <x:c r="N57" s="42" t="n">
        <x:f>IFERROR(K57/SUM($K$5:$K$100),0)</x:f>
        <x:v>0</x:v>
      </x:c>
      <x:c r="O57" s="26"/>
      <x:c r="P57" s="22"/>
      <x:c r="Q57" s="28"/>
      <x:c r="R57" s="22"/>
      <x:c r="S57" s="22"/>
    </x:row>
    <x:row r="58">
      <x:c r="A58" s="22"/>
      <x:c r="B58" s="22"/>
      <x:c r="C58" s="22"/>
      <x:c r="D58" s="22"/>
      <x:c r="E58" s="22"/>
      <x:c r="F58" s="22"/>
      <x:c r="G58" s="28"/>
      <x:c r="H58" s="34" t="n">
        <x:f>SUMIFS(Investment_Transactions!$G:$G,Investment_Transactions!$C:$C,A58,Investment_Transactions!$D:$D,"CONTRIBUTION",Investment_Transactions!$H:$H,"POSTED")</x:f>
        <x:v>0</x:v>
      </x:c>
      <x:c r="I58" s="34" t="n">
        <x:f>SUMIFS(Investment_Transactions!$G:$G,Investment_Transactions!$C:$C,A58,Investment_Transactions!$D:$D,"WITHDRAWAL",Investment_Transactions!$H:$H,"POSTED")</x:f>
        <x:v>0</x:v>
      </x:c>
      <x:c r="J58" s="34" t="n">
        <x:f>SUMIFS(Investment_Transactions!$G:$G,Investment_Transactions!$C:$C,A58,Investment_Transactions!$D:$D,"INCOME",Investment_Transactions!$H:$H,"POSTED")</x:f>
        <x:v>0</x:v>
      </x:c>
      <x:c r="K58" s="24"/>
      <x:c r="L58" s="36" t="n">
        <x:f>K58+I58+J58-H58</x:f>
        <x:v>0</x:v>
      </x:c>
      <x:c r="M58" s="42" t="n">
        <x:f>IFERROR(L58/H58,0)</x:f>
        <x:v>0</x:v>
      </x:c>
      <x:c r="N58" s="42" t="n">
        <x:f>IFERROR(K58/SUM($K$5:$K$100),0)</x:f>
        <x:v>0</x:v>
      </x:c>
      <x:c r="O58" s="26"/>
      <x:c r="P58" s="22"/>
      <x:c r="Q58" s="28"/>
      <x:c r="R58" s="22"/>
      <x:c r="S58" s="22"/>
    </x:row>
    <x:row r="59">
      <x:c r="A59" s="22"/>
      <x:c r="B59" s="22"/>
      <x:c r="C59" s="22"/>
      <x:c r="D59" s="22"/>
      <x:c r="E59" s="22"/>
      <x:c r="F59" s="22"/>
      <x:c r="G59" s="28"/>
      <x:c r="H59" s="34" t="n">
        <x:f>SUMIFS(Investment_Transactions!$G:$G,Investment_Transactions!$C:$C,A59,Investment_Transactions!$D:$D,"CONTRIBUTION",Investment_Transactions!$H:$H,"POSTED")</x:f>
        <x:v>0</x:v>
      </x:c>
      <x:c r="I59" s="34" t="n">
        <x:f>SUMIFS(Investment_Transactions!$G:$G,Investment_Transactions!$C:$C,A59,Investment_Transactions!$D:$D,"WITHDRAWAL",Investment_Transactions!$H:$H,"POSTED")</x:f>
        <x:v>0</x:v>
      </x:c>
      <x:c r="J59" s="34" t="n">
        <x:f>SUMIFS(Investment_Transactions!$G:$G,Investment_Transactions!$C:$C,A59,Investment_Transactions!$D:$D,"INCOME",Investment_Transactions!$H:$H,"POSTED")</x:f>
        <x:v>0</x:v>
      </x:c>
      <x:c r="K59" s="24"/>
      <x:c r="L59" s="36" t="n">
        <x:f>K59+I59+J59-H59</x:f>
        <x:v>0</x:v>
      </x:c>
      <x:c r="M59" s="42" t="n">
        <x:f>IFERROR(L59/H59,0)</x:f>
        <x:v>0</x:v>
      </x:c>
      <x:c r="N59" s="42" t="n">
        <x:f>IFERROR(K59/SUM($K$5:$K$100),0)</x:f>
        <x:v>0</x:v>
      </x:c>
      <x:c r="O59" s="26"/>
      <x:c r="P59" s="22"/>
      <x:c r="Q59" s="28"/>
      <x:c r="R59" s="22"/>
      <x:c r="S59" s="22"/>
    </x:row>
    <x:row r="60">
      <x:c r="A60" s="22"/>
      <x:c r="B60" s="22"/>
      <x:c r="C60" s="22"/>
      <x:c r="D60" s="22"/>
      <x:c r="E60" s="22"/>
      <x:c r="F60" s="22"/>
      <x:c r="G60" s="28"/>
      <x:c r="H60" s="34" t="n">
        <x:f>SUMIFS(Investment_Transactions!$G:$G,Investment_Transactions!$C:$C,A60,Investment_Transactions!$D:$D,"CONTRIBUTION",Investment_Transactions!$H:$H,"POSTED")</x:f>
        <x:v>0</x:v>
      </x:c>
      <x:c r="I60" s="34" t="n">
        <x:f>SUMIFS(Investment_Transactions!$G:$G,Investment_Transactions!$C:$C,A60,Investment_Transactions!$D:$D,"WITHDRAWAL",Investment_Transactions!$H:$H,"POSTED")</x:f>
        <x:v>0</x:v>
      </x:c>
      <x:c r="J60" s="34" t="n">
        <x:f>SUMIFS(Investment_Transactions!$G:$G,Investment_Transactions!$C:$C,A60,Investment_Transactions!$D:$D,"INCOME",Investment_Transactions!$H:$H,"POSTED")</x:f>
        <x:v>0</x:v>
      </x:c>
      <x:c r="K60" s="24"/>
      <x:c r="L60" s="36" t="n">
        <x:f>K60+I60+J60-H60</x:f>
        <x:v>0</x:v>
      </x:c>
      <x:c r="M60" s="42" t="n">
        <x:f>IFERROR(L60/H60,0)</x:f>
        <x:v>0</x:v>
      </x:c>
      <x:c r="N60" s="42" t="n">
        <x:f>IFERROR(K60/SUM($K$5:$K$100),0)</x:f>
        <x:v>0</x:v>
      </x:c>
      <x:c r="O60" s="26"/>
      <x:c r="P60" s="22"/>
      <x:c r="Q60" s="28"/>
      <x:c r="R60" s="22"/>
      <x:c r="S60" s="22"/>
    </x:row>
    <x:row r="61">
      <x:c r="A61" s="22"/>
      <x:c r="B61" s="22"/>
      <x:c r="C61" s="22"/>
      <x:c r="D61" s="22"/>
      <x:c r="E61" s="22"/>
      <x:c r="F61" s="22"/>
      <x:c r="G61" s="28"/>
      <x:c r="H61" s="34" t="n">
        <x:f>SUMIFS(Investment_Transactions!$G:$G,Investment_Transactions!$C:$C,A61,Investment_Transactions!$D:$D,"CONTRIBUTION",Investment_Transactions!$H:$H,"POSTED")</x:f>
        <x:v>0</x:v>
      </x:c>
      <x:c r="I61" s="34" t="n">
        <x:f>SUMIFS(Investment_Transactions!$G:$G,Investment_Transactions!$C:$C,A61,Investment_Transactions!$D:$D,"WITHDRAWAL",Investment_Transactions!$H:$H,"POSTED")</x:f>
        <x:v>0</x:v>
      </x:c>
      <x:c r="J61" s="34" t="n">
        <x:f>SUMIFS(Investment_Transactions!$G:$G,Investment_Transactions!$C:$C,A61,Investment_Transactions!$D:$D,"INCOME",Investment_Transactions!$H:$H,"POSTED")</x:f>
        <x:v>0</x:v>
      </x:c>
      <x:c r="K61" s="24"/>
      <x:c r="L61" s="36" t="n">
        <x:f>K61+I61+J61-H61</x:f>
        <x:v>0</x:v>
      </x:c>
      <x:c r="M61" s="42" t="n">
        <x:f>IFERROR(L61/H61,0)</x:f>
        <x:v>0</x:v>
      </x:c>
      <x:c r="N61" s="42" t="n">
        <x:f>IFERROR(K61/SUM($K$5:$K$100),0)</x:f>
        <x:v>0</x:v>
      </x:c>
      <x:c r="O61" s="26"/>
      <x:c r="P61" s="22"/>
      <x:c r="Q61" s="28"/>
      <x:c r="R61" s="22"/>
      <x:c r="S61" s="22"/>
    </x:row>
    <x:row r="62">
      <x:c r="A62" s="22"/>
      <x:c r="B62" s="22"/>
      <x:c r="C62" s="22"/>
      <x:c r="D62" s="22"/>
      <x:c r="E62" s="22"/>
      <x:c r="F62" s="22"/>
      <x:c r="G62" s="28"/>
      <x:c r="H62" s="34" t="n">
        <x:f>SUMIFS(Investment_Transactions!$G:$G,Investment_Transactions!$C:$C,A62,Investment_Transactions!$D:$D,"CONTRIBUTION",Investment_Transactions!$H:$H,"POSTED")</x:f>
        <x:v>0</x:v>
      </x:c>
      <x:c r="I62" s="34" t="n">
        <x:f>SUMIFS(Investment_Transactions!$G:$G,Investment_Transactions!$C:$C,A62,Investment_Transactions!$D:$D,"WITHDRAWAL",Investment_Transactions!$H:$H,"POSTED")</x:f>
        <x:v>0</x:v>
      </x:c>
      <x:c r="J62" s="34" t="n">
        <x:f>SUMIFS(Investment_Transactions!$G:$G,Investment_Transactions!$C:$C,A62,Investment_Transactions!$D:$D,"INCOME",Investment_Transactions!$H:$H,"POSTED")</x:f>
        <x:v>0</x:v>
      </x:c>
      <x:c r="K62" s="24"/>
      <x:c r="L62" s="36" t="n">
        <x:f>K62+I62+J62-H62</x:f>
        <x:v>0</x:v>
      </x:c>
      <x:c r="M62" s="42" t="n">
        <x:f>IFERROR(L62/H62,0)</x:f>
        <x:v>0</x:v>
      </x:c>
      <x:c r="N62" s="42" t="n">
        <x:f>IFERROR(K62/SUM($K$5:$K$100),0)</x:f>
        <x:v>0</x:v>
      </x:c>
      <x:c r="O62" s="26"/>
      <x:c r="P62" s="22"/>
      <x:c r="Q62" s="28"/>
      <x:c r="R62" s="22"/>
      <x:c r="S62" s="22"/>
    </x:row>
    <x:row r="63">
      <x:c r="A63" s="22"/>
      <x:c r="B63" s="22"/>
      <x:c r="C63" s="22"/>
      <x:c r="D63" s="22"/>
      <x:c r="E63" s="22"/>
      <x:c r="F63" s="22"/>
      <x:c r="G63" s="28"/>
      <x:c r="H63" s="34" t="n">
        <x:f>SUMIFS(Investment_Transactions!$G:$G,Investment_Transactions!$C:$C,A63,Investment_Transactions!$D:$D,"CONTRIBUTION",Investment_Transactions!$H:$H,"POSTED")</x:f>
        <x:v>0</x:v>
      </x:c>
      <x:c r="I63" s="34" t="n">
        <x:f>SUMIFS(Investment_Transactions!$G:$G,Investment_Transactions!$C:$C,A63,Investment_Transactions!$D:$D,"WITHDRAWAL",Investment_Transactions!$H:$H,"POSTED")</x:f>
        <x:v>0</x:v>
      </x:c>
      <x:c r="J63" s="34" t="n">
        <x:f>SUMIFS(Investment_Transactions!$G:$G,Investment_Transactions!$C:$C,A63,Investment_Transactions!$D:$D,"INCOME",Investment_Transactions!$H:$H,"POSTED")</x:f>
        <x:v>0</x:v>
      </x:c>
      <x:c r="K63" s="24"/>
      <x:c r="L63" s="36" t="n">
        <x:f>K63+I63+J63-H63</x:f>
        <x:v>0</x:v>
      </x:c>
      <x:c r="M63" s="42" t="n">
        <x:f>IFERROR(L63/H63,0)</x:f>
        <x:v>0</x:v>
      </x:c>
      <x:c r="N63" s="42" t="n">
        <x:f>IFERROR(K63/SUM($K$5:$K$100),0)</x:f>
        <x:v>0</x:v>
      </x:c>
      <x:c r="O63" s="26"/>
      <x:c r="P63" s="22"/>
      <x:c r="Q63" s="28"/>
      <x:c r="R63" s="22"/>
      <x:c r="S63" s="22"/>
    </x:row>
    <x:row r="64">
      <x:c r="A64" s="22"/>
      <x:c r="B64" s="22"/>
      <x:c r="C64" s="22"/>
      <x:c r="D64" s="22"/>
      <x:c r="E64" s="22"/>
      <x:c r="F64" s="22"/>
      <x:c r="G64" s="28"/>
      <x:c r="H64" s="34" t="n">
        <x:f>SUMIFS(Investment_Transactions!$G:$G,Investment_Transactions!$C:$C,A64,Investment_Transactions!$D:$D,"CONTRIBUTION",Investment_Transactions!$H:$H,"POSTED")</x:f>
        <x:v>0</x:v>
      </x:c>
      <x:c r="I64" s="34" t="n">
        <x:f>SUMIFS(Investment_Transactions!$G:$G,Investment_Transactions!$C:$C,A64,Investment_Transactions!$D:$D,"WITHDRAWAL",Investment_Transactions!$H:$H,"POSTED")</x:f>
        <x:v>0</x:v>
      </x:c>
      <x:c r="J64" s="34" t="n">
        <x:f>SUMIFS(Investment_Transactions!$G:$G,Investment_Transactions!$C:$C,A64,Investment_Transactions!$D:$D,"INCOME",Investment_Transactions!$H:$H,"POSTED")</x:f>
        <x:v>0</x:v>
      </x:c>
      <x:c r="K64" s="24"/>
      <x:c r="L64" s="36" t="n">
        <x:f>K64+I64+J64-H64</x:f>
        <x:v>0</x:v>
      </x:c>
      <x:c r="M64" s="42" t="n">
        <x:f>IFERROR(L64/H64,0)</x:f>
        <x:v>0</x:v>
      </x:c>
      <x:c r="N64" s="42" t="n">
        <x:f>IFERROR(K64/SUM($K$5:$K$100),0)</x:f>
        <x:v>0</x:v>
      </x:c>
      <x:c r="O64" s="26"/>
      <x:c r="P64" s="22"/>
      <x:c r="Q64" s="28"/>
      <x:c r="R64" s="22"/>
      <x:c r="S64" s="22"/>
    </x:row>
    <x:row r="65">
      <x:c r="A65" s="22"/>
      <x:c r="B65" s="22"/>
      <x:c r="C65" s="22"/>
      <x:c r="D65" s="22"/>
      <x:c r="E65" s="22"/>
      <x:c r="F65" s="22"/>
      <x:c r="G65" s="28"/>
      <x:c r="H65" s="34" t="n">
        <x:f>SUMIFS(Investment_Transactions!$G:$G,Investment_Transactions!$C:$C,A65,Investment_Transactions!$D:$D,"CONTRIBUTION",Investment_Transactions!$H:$H,"POSTED")</x:f>
        <x:v>0</x:v>
      </x:c>
      <x:c r="I65" s="34" t="n">
        <x:f>SUMIFS(Investment_Transactions!$G:$G,Investment_Transactions!$C:$C,A65,Investment_Transactions!$D:$D,"WITHDRAWAL",Investment_Transactions!$H:$H,"POSTED")</x:f>
        <x:v>0</x:v>
      </x:c>
      <x:c r="J65" s="34" t="n">
        <x:f>SUMIFS(Investment_Transactions!$G:$G,Investment_Transactions!$C:$C,A65,Investment_Transactions!$D:$D,"INCOME",Investment_Transactions!$H:$H,"POSTED")</x:f>
        <x:v>0</x:v>
      </x:c>
      <x:c r="K65" s="24"/>
      <x:c r="L65" s="36" t="n">
        <x:f>K65+I65+J65-H65</x:f>
        <x:v>0</x:v>
      </x:c>
      <x:c r="M65" s="42" t="n">
        <x:f>IFERROR(L65/H65,0)</x:f>
        <x:v>0</x:v>
      </x:c>
      <x:c r="N65" s="42" t="n">
        <x:f>IFERROR(K65/SUM($K$5:$K$100),0)</x:f>
        <x:v>0</x:v>
      </x:c>
      <x:c r="O65" s="26"/>
      <x:c r="P65" s="22"/>
      <x:c r="Q65" s="28"/>
      <x:c r="R65" s="22"/>
      <x:c r="S65" s="22"/>
    </x:row>
    <x:row r="66">
      <x:c r="A66" s="22"/>
      <x:c r="B66" s="22"/>
      <x:c r="C66" s="22"/>
      <x:c r="D66" s="22"/>
      <x:c r="E66" s="22"/>
      <x:c r="F66" s="22"/>
      <x:c r="G66" s="28"/>
      <x:c r="H66" s="34" t="n">
        <x:f>SUMIFS(Investment_Transactions!$G:$G,Investment_Transactions!$C:$C,A66,Investment_Transactions!$D:$D,"CONTRIBUTION",Investment_Transactions!$H:$H,"POSTED")</x:f>
        <x:v>0</x:v>
      </x:c>
      <x:c r="I66" s="34" t="n">
        <x:f>SUMIFS(Investment_Transactions!$G:$G,Investment_Transactions!$C:$C,A66,Investment_Transactions!$D:$D,"WITHDRAWAL",Investment_Transactions!$H:$H,"POSTED")</x:f>
        <x:v>0</x:v>
      </x:c>
      <x:c r="J66" s="34" t="n">
        <x:f>SUMIFS(Investment_Transactions!$G:$G,Investment_Transactions!$C:$C,A66,Investment_Transactions!$D:$D,"INCOME",Investment_Transactions!$H:$H,"POSTED")</x:f>
        <x:v>0</x:v>
      </x:c>
      <x:c r="K66" s="24"/>
      <x:c r="L66" s="36" t="n">
        <x:f>K66+I66+J66-H66</x:f>
        <x:v>0</x:v>
      </x:c>
      <x:c r="M66" s="42" t="n">
        <x:f>IFERROR(L66/H66,0)</x:f>
        <x:v>0</x:v>
      </x:c>
      <x:c r="N66" s="42" t="n">
        <x:f>IFERROR(K66/SUM($K$5:$K$100),0)</x:f>
        <x:v>0</x:v>
      </x:c>
      <x:c r="O66" s="26"/>
      <x:c r="P66" s="22"/>
      <x:c r="Q66" s="28"/>
      <x:c r="R66" s="22"/>
      <x:c r="S66" s="22"/>
    </x:row>
    <x:row r="67">
      <x:c r="A67" s="22"/>
      <x:c r="B67" s="22"/>
      <x:c r="C67" s="22"/>
      <x:c r="D67" s="22"/>
      <x:c r="E67" s="22"/>
      <x:c r="F67" s="22"/>
      <x:c r="G67" s="28"/>
      <x:c r="H67" s="34" t="n">
        <x:f>SUMIFS(Investment_Transactions!$G:$G,Investment_Transactions!$C:$C,A67,Investment_Transactions!$D:$D,"CONTRIBUTION",Investment_Transactions!$H:$H,"POSTED")</x:f>
        <x:v>0</x:v>
      </x:c>
      <x:c r="I67" s="34" t="n">
        <x:f>SUMIFS(Investment_Transactions!$G:$G,Investment_Transactions!$C:$C,A67,Investment_Transactions!$D:$D,"WITHDRAWAL",Investment_Transactions!$H:$H,"POSTED")</x:f>
        <x:v>0</x:v>
      </x:c>
      <x:c r="J67" s="34" t="n">
        <x:f>SUMIFS(Investment_Transactions!$G:$G,Investment_Transactions!$C:$C,A67,Investment_Transactions!$D:$D,"INCOME",Investment_Transactions!$H:$H,"POSTED")</x:f>
        <x:v>0</x:v>
      </x:c>
      <x:c r="K67" s="24"/>
      <x:c r="L67" s="36" t="n">
        <x:f>K67+I67+J67-H67</x:f>
        <x:v>0</x:v>
      </x:c>
      <x:c r="M67" s="42" t="n">
        <x:f>IFERROR(L67/H67,0)</x:f>
        <x:v>0</x:v>
      </x:c>
      <x:c r="N67" s="42" t="n">
        <x:f>IFERROR(K67/SUM($K$5:$K$100),0)</x:f>
        <x:v>0</x:v>
      </x:c>
      <x:c r="O67" s="26"/>
      <x:c r="P67" s="22"/>
      <x:c r="Q67" s="28"/>
      <x:c r="R67" s="22"/>
      <x:c r="S67" s="22"/>
    </x:row>
    <x:row r="68">
      <x:c r="A68" s="22"/>
      <x:c r="B68" s="22"/>
      <x:c r="C68" s="22"/>
      <x:c r="D68" s="22"/>
      <x:c r="E68" s="22"/>
      <x:c r="F68" s="22"/>
      <x:c r="G68" s="28"/>
      <x:c r="H68" s="34" t="n">
        <x:f>SUMIFS(Investment_Transactions!$G:$G,Investment_Transactions!$C:$C,A68,Investment_Transactions!$D:$D,"CONTRIBUTION",Investment_Transactions!$H:$H,"POSTED")</x:f>
        <x:v>0</x:v>
      </x:c>
      <x:c r="I68" s="34" t="n">
        <x:f>SUMIFS(Investment_Transactions!$G:$G,Investment_Transactions!$C:$C,A68,Investment_Transactions!$D:$D,"WITHDRAWAL",Investment_Transactions!$H:$H,"POSTED")</x:f>
        <x:v>0</x:v>
      </x:c>
      <x:c r="J68" s="34" t="n">
        <x:f>SUMIFS(Investment_Transactions!$G:$G,Investment_Transactions!$C:$C,A68,Investment_Transactions!$D:$D,"INCOME",Investment_Transactions!$H:$H,"POSTED")</x:f>
        <x:v>0</x:v>
      </x:c>
      <x:c r="K68" s="24"/>
      <x:c r="L68" s="36" t="n">
        <x:f>K68+I68+J68-H68</x:f>
        <x:v>0</x:v>
      </x:c>
      <x:c r="M68" s="42" t="n">
        <x:f>IFERROR(L68/H68,0)</x:f>
        <x:v>0</x:v>
      </x:c>
      <x:c r="N68" s="42" t="n">
        <x:f>IFERROR(K68/SUM($K$5:$K$100),0)</x:f>
        <x:v>0</x:v>
      </x:c>
      <x:c r="O68" s="26"/>
      <x:c r="P68" s="22"/>
      <x:c r="Q68" s="28"/>
      <x:c r="R68" s="22"/>
      <x:c r="S68" s="22"/>
    </x:row>
    <x:row r="69">
      <x:c r="A69" s="22"/>
      <x:c r="B69" s="22"/>
      <x:c r="C69" s="22"/>
      <x:c r="D69" s="22"/>
      <x:c r="E69" s="22"/>
      <x:c r="F69" s="22"/>
      <x:c r="G69" s="28"/>
      <x:c r="H69" s="34" t="n">
        <x:f>SUMIFS(Investment_Transactions!$G:$G,Investment_Transactions!$C:$C,A69,Investment_Transactions!$D:$D,"CONTRIBUTION",Investment_Transactions!$H:$H,"POSTED")</x:f>
        <x:v>0</x:v>
      </x:c>
      <x:c r="I69" s="34" t="n">
        <x:f>SUMIFS(Investment_Transactions!$G:$G,Investment_Transactions!$C:$C,A69,Investment_Transactions!$D:$D,"WITHDRAWAL",Investment_Transactions!$H:$H,"POSTED")</x:f>
        <x:v>0</x:v>
      </x:c>
      <x:c r="J69" s="34" t="n">
        <x:f>SUMIFS(Investment_Transactions!$G:$G,Investment_Transactions!$C:$C,A69,Investment_Transactions!$D:$D,"INCOME",Investment_Transactions!$H:$H,"POSTED")</x:f>
        <x:v>0</x:v>
      </x:c>
      <x:c r="K69" s="24"/>
      <x:c r="L69" s="36" t="n">
        <x:f>K69+I69+J69-H69</x:f>
        <x:v>0</x:v>
      </x:c>
      <x:c r="M69" s="42" t="n">
        <x:f>IFERROR(L69/H69,0)</x:f>
        <x:v>0</x:v>
      </x:c>
      <x:c r="N69" s="42" t="n">
        <x:f>IFERROR(K69/SUM($K$5:$K$100),0)</x:f>
        <x:v>0</x:v>
      </x:c>
      <x:c r="O69" s="26"/>
      <x:c r="P69" s="22"/>
      <x:c r="Q69" s="28"/>
      <x:c r="R69" s="22"/>
      <x:c r="S69" s="22"/>
    </x:row>
    <x:row r="70">
      <x:c r="A70" s="22"/>
      <x:c r="B70" s="22"/>
      <x:c r="C70" s="22"/>
      <x:c r="D70" s="22"/>
      <x:c r="E70" s="22"/>
      <x:c r="F70" s="22"/>
      <x:c r="G70" s="28"/>
      <x:c r="H70" s="34" t="n">
        <x:f>SUMIFS(Investment_Transactions!$G:$G,Investment_Transactions!$C:$C,A70,Investment_Transactions!$D:$D,"CONTRIBUTION",Investment_Transactions!$H:$H,"POSTED")</x:f>
        <x:v>0</x:v>
      </x:c>
      <x:c r="I70" s="34" t="n">
        <x:f>SUMIFS(Investment_Transactions!$G:$G,Investment_Transactions!$C:$C,A70,Investment_Transactions!$D:$D,"WITHDRAWAL",Investment_Transactions!$H:$H,"POSTED")</x:f>
        <x:v>0</x:v>
      </x:c>
      <x:c r="J70" s="34" t="n">
        <x:f>SUMIFS(Investment_Transactions!$G:$G,Investment_Transactions!$C:$C,A70,Investment_Transactions!$D:$D,"INCOME",Investment_Transactions!$H:$H,"POSTED")</x:f>
        <x:v>0</x:v>
      </x:c>
      <x:c r="K70" s="24"/>
      <x:c r="L70" s="36" t="n">
        <x:f>K70+I70+J70-H70</x:f>
        <x:v>0</x:v>
      </x:c>
      <x:c r="M70" s="42" t="n">
        <x:f>IFERROR(L70/H70,0)</x:f>
        <x:v>0</x:v>
      </x:c>
      <x:c r="N70" s="42" t="n">
        <x:f>IFERROR(K70/SUM($K$5:$K$100),0)</x:f>
        <x:v>0</x:v>
      </x:c>
      <x:c r="O70" s="26"/>
      <x:c r="P70" s="22"/>
      <x:c r="Q70" s="28"/>
      <x:c r="R70" s="22"/>
      <x:c r="S70" s="22"/>
    </x:row>
    <x:row r="71">
      <x:c r="A71" s="22"/>
      <x:c r="B71" s="22"/>
      <x:c r="C71" s="22"/>
      <x:c r="D71" s="22"/>
      <x:c r="E71" s="22"/>
      <x:c r="F71" s="22"/>
      <x:c r="G71" s="28"/>
      <x:c r="H71" s="34" t="n">
        <x:f>SUMIFS(Investment_Transactions!$G:$G,Investment_Transactions!$C:$C,A71,Investment_Transactions!$D:$D,"CONTRIBUTION",Investment_Transactions!$H:$H,"POSTED")</x:f>
        <x:v>0</x:v>
      </x:c>
      <x:c r="I71" s="34" t="n">
        <x:f>SUMIFS(Investment_Transactions!$G:$G,Investment_Transactions!$C:$C,A71,Investment_Transactions!$D:$D,"WITHDRAWAL",Investment_Transactions!$H:$H,"POSTED")</x:f>
        <x:v>0</x:v>
      </x:c>
      <x:c r="J71" s="34" t="n">
        <x:f>SUMIFS(Investment_Transactions!$G:$G,Investment_Transactions!$C:$C,A71,Investment_Transactions!$D:$D,"INCOME",Investment_Transactions!$H:$H,"POSTED")</x:f>
        <x:v>0</x:v>
      </x:c>
      <x:c r="K71" s="24"/>
      <x:c r="L71" s="36" t="n">
        <x:f>K71+I71+J71-H71</x:f>
        <x:v>0</x:v>
      </x:c>
      <x:c r="M71" s="42" t="n">
        <x:f>IFERROR(L71/H71,0)</x:f>
        <x:v>0</x:v>
      </x:c>
      <x:c r="N71" s="42" t="n">
        <x:f>IFERROR(K71/SUM($K$5:$K$100),0)</x:f>
        <x:v>0</x:v>
      </x:c>
      <x:c r="O71" s="26"/>
      <x:c r="P71" s="22"/>
      <x:c r="Q71" s="28"/>
      <x:c r="R71" s="22"/>
      <x:c r="S71" s="22"/>
    </x:row>
    <x:row r="72">
      <x:c r="A72" s="22"/>
      <x:c r="B72" s="22"/>
      <x:c r="C72" s="22"/>
      <x:c r="D72" s="22"/>
      <x:c r="E72" s="22"/>
      <x:c r="F72" s="22"/>
      <x:c r="G72" s="28"/>
      <x:c r="H72" s="34" t="n">
        <x:f>SUMIFS(Investment_Transactions!$G:$G,Investment_Transactions!$C:$C,A72,Investment_Transactions!$D:$D,"CONTRIBUTION",Investment_Transactions!$H:$H,"POSTED")</x:f>
        <x:v>0</x:v>
      </x:c>
      <x:c r="I72" s="34" t="n">
        <x:f>SUMIFS(Investment_Transactions!$G:$G,Investment_Transactions!$C:$C,A72,Investment_Transactions!$D:$D,"WITHDRAWAL",Investment_Transactions!$H:$H,"POSTED")</x:f>
        <x:v>0</x:v>
      </x:c>
      <x:c r="J72" s="34" t="n">
        <x:f>SUMIFS(Investment_Transactions!$G:$G,Investment_Transactions!$C:$C,A72,Investment_Transactions!$D:$D,"INCOME",Investment_Transactions!$H:$H,"POSTED")</x:f>
        <x:v>0</x:v>
      </x:c>
      <x:c r="K72" s="24"/>
      <x:c r="L72" s="36" t="n">
        <x:f>K72+I72+J72-H72</x:f>
        <x:v>0</x:v>
      </x:c>
      <x:c r="M72" s="42" t="n">
        <x:f>IFERROR(L72/H72,0)</x:f>
        <x:v>0</x:v>
      </x:c>
      <x:c r="N72" s="42" t="n">
        <x:f>IFERROR(K72/SUM($K$5:$K$100),0)</x:f>
        <x:v>0</x:v>
      </x:c>
      <x:c r="O72" s="26"/>
      <x:c r="P72" s="22"/>
      <x:c r="Q72" s="28"/>
      <x:c r="R72" s="22"/>
      <x:c r="S72" s="22"/>
    </x:row>
    <x:row r="73">
      <x:c r="A73" s="22"/>
      <x:c r="B73" s="22"/>
      <x:c r="C73" s="22"/>
      <x:c r="D73" s="22"/>
      <x:c r="E73" s="22"/>
      <x:c r="F73" s="22"/>
      <x:c r="G73" s="28"/>
      <x:c r="H73" s="34" t="n">
        <x:f>SUMIFS(Investment_Transactions!$G:$G,Investment_Transactions!$C:$C,A73,Investment_Transactions!$D:$D,"CONTRIBUTION",Investment_Transactions!$H:$H,"POSTED")</x:f>
        <x:v>0</x:v>
      </x:c>
      <x:c r="I73" s="34" t="n">
        <x:f>SUMIFS(Investment_Transactions!$G:$G,Investment_Transactions!$C:$C,A73,Investment_Transactions!$D:$D,"WITHDRAWAL",Investment_Transactions!$H:$H,"POSTED")</x:f>
        <x:v>0</x:v>
      </x:c>
      <x:c r="J73" s="34" t="n">
        <x:f>SUMIFS(Investment_Transactions!$G:$G,Investment_Transactions!$C:$C,A73,Investment_Transactions!$D:$D,"INCOME",Investment_Transactions!$H:$H,"POSTED")</x:f>
        <x:v>0</x:v>
      </x:c>
      <x:c r="K73" s="24"/>
      <x:c r="L73" s="36" t="n">
        <x:f>K73+I73+J73-H73</x:f>
        <x:v>0</x:v>
      </x:c>
      <x:c r="M73" s="42" t="n">
        <x:f>IFERROR(L73/H73,0)</x:f>
        <x:v>0</x:v>
      </x:c>
      <x:c r="N73" s="42" t="n">
        <x:f>IFERROR(K73/SUM($K$5:$K$100),0)</x:f>
        <x:v>0</x:v>
      </x:c>
      <x:c r="O73" s="26"/>
      <x:c r="P73" s="22"/>
      <x:c r="Q73" s="28"/>
      <x:c r="R73" s="22"/>
      <x:c r="S73" s="22"/>
    </x:row>
    <x:row r="74">
      <x:c r="A74" s="22"/>
      <x:c r="B74" s="22"/>
      <x:c r="C74" s="22"/>
      <x:c r="D74" s="22"/>
      <x:c r="E74" s="22"/>
      <x:c r="F74" s="22"/>
      <x:c r="G74" s="28"/>
      <x:c r="H74" s="34" t="n">
        <x:f>SUMIFS(Investment_Transactions!$G:$G,Investment_Transactions!$C:$C,A74,Investment_Transactions!$D:$D,"CONTRIBUTION",Investment_Transactions!$H:$H,"POSTED")</x:f>
        <x:v>0</x:v>
      </x:c>
      <x:c r="I74" s="34" t="n">
        <x:f>SUMIFS(Investment_Transactions!$G:$G,Investment_Transactions!$C:$C,A74,Investment_Transactions!$D:$D,"WITHDRAWAL",Investment_Transactions!$H:$H,"POSTED")</x:f>
        <x:v>0</x:v>
      </x:c>
      <x:c r="J74" s="34" t="n">
        <x:f>SUMIFS(Investment_Transactions!$G:$G,Investment_Transactions!$C:$C,A74,Investment_Transactions!$D:$D,"INCOME",Investment_Transactions!$H:$H,"POSTED")</x:f>
        <x:v>0</x:v>
      </x:c>
      <x:c r="K74" s="24"/>
      <x:c r="L74" s="36" t="n">
        <x:f>K74+I74+J74-H74</x:f>
        <x:v>0</x:v>
      </x:c>
      <x:c r="M74" s="42" t="n">
        <x:f>IFERROR(L74/H74,0)</x:f>
        <x:v>0</x:v>
      </x:c>
      <x:c r="N74" s="42" t="n">
        <x:f>IFERROR(K74/SUM($K$5:$K$100),0)</x:f>
        <x:v>0</x:v>
      </x:c>
      <x:c r="O74" s="26"/>
      <x:c r="P74" s="22"/>
      <x:c r="Q74" s="28"/>
      <x:c r="R74" s="22"/>
      <x:c r="S74" s="22"/>
    </x:row>
    <x:row r="75">
      <x:c r="A75" s="22"/>
      <x:c r="B75" s="22"/>
      <x:c r="C75" s="22"/>
      <x:c r="D75" s="22"/>
      <x:c r="E75" s="22"/>
      <x:c r="F75" s="22"/>
      <x:c r="G75" s="28"/>
      <x:c r="H75" s="34" t="n">
        <x:f>SUMIFS(Investment_Transactions!$G:$G,Investment_Transactions!$C:$C,A75,Investment_Transactions!$D:$D,"CONTRIBUTION",Investment_Transactions!$H:$H,"POSTED")</x:f>
        <x:v>0</x:v>
      </x:c>
      <x:c r="I75" s="34" t="n">
        <x:f>SUMIFS(Investment_Transactions!$G:$G,Investment_Transactions!$C:$C,A75,Investment_Transactions!$D:$D,"WITHDRAWAL",Investment_Transactions!$H:$H,"POSTED")</x:f>
        <x:v>0</x:v>
      </x:c>
      <x:c r="J75" s="34" t="n">
        <x:f>SUMIFS(Investment_Transactions!$G:$G,Investment_Transactions!$C:$C,A75,Investment_Transactions!$D:$D,"INCOME",Investment_Transactions!$H:$H,"POSTED")</x:f>
        <x:v>0</x:v>
      </x:c>
      <x:c r="K75" s="24"/>
      <x:c r="L75" s="36" t="n">
        <x:f>K75+I75+J75-H75</x:f>
        <x:v>0</x:v>
      </x:c>
      <x:c r="M75" s="42" t="n">
        <x:f>IFERROR(L75/H75,0)</x:f>
        <x:v>0</x:v>
      </x:c>
      <x:c r="N75" s="42" t="n">
        <x:f>IFERROR(K75/SUM($K$5:$K$100),0)</x:f>
        <x:v>0</x:v>
      </x:c>
      <x:c r="O75" s="26"/>
      <x:c r="P75" s="22"/>
      <x:c r="Q75" s="28"/>
      <x:c r="R75" s="22"/>
      <x:c r="S75" s="22"/>
    </x:row>
    <x:row r="76">
      <x:c r="A76" s="22"/>
      <x:c r="B76" s="22"/>
      <x:c r="C76" s="22"/>
      <x:c r="D76" s="22"/>
      <x:c r="E76" s="22"/>
      <x:c r="F76" s="22"/>
      <x:c r="G76" s="28"/>
      <x:c r="H76" s="34" t="n">
        <x:f>SUMIFS(Investment_Transactions!$G:$G,Investment_Transactions!$C:$C,A76,Investment_Transactions!$D:$D,"CONTRIBUTION",Investment_Transactions!$H:$H,"POSTED")</x:f>
        <x:v>0</x:v>
      </x:c>
      <x:c r="I76" s="34" t="n">
        <x:f>SUMIFS(Investment_Transactions!$G:$G,Investment_Transactions!$C:$C,A76,Investment_Transactions!$D:$D,"WITHDRAWAL",Investment_Transactions!$H:$H,"POSTED")</x:f>
        <x:v>0</x:v>
      </x:c>
      <x:c r="J76" s="34" t="n">
        <x:f>SUMIFS(Investment_Transactions!$G:$G,Investment_Transactions!$C:$C,A76,Investment_Transactions!$D:$D,"INCOME",Investment_Transactions!$H:$H,"POSTED")</x:f>
        <x:v>0</x:v>
      </x:c>
      <x:c r="K76" s="24"/>
      <x:c r="L76" s="36" t="n">
        <x:f>K76+I76+J76-H76</x:f>
        <x:v>0</x:v>
      </x:c>
      <x:c r="M76" s="42" t="n">
        <x:f>IFERROR(L76/H76,0)</x:f>
        <x:v>0</x:v>
      </x:c>
      <x:c r="N76" s="42" t="n">
        <x:f>IFERROR(K76/SUM($K$5:$K$100),0)</x:f>
        <x:v>0</x:v>
      </x:c>
      <x:c r="O76" s="26"/>
      <x:c r="P76" s="22"/>
      <x:c r="Q76" s="28"/>
      <x:c r="R76" s="22"/>
      <x:c r="S76" s="22"/>
    </x:row>
    <x:row r="77">
      <x:c r="A77" s="22"/>
      <x:c r="B77" s="22"/>
      <x:c r="C77" s="22"/>
      <x:c r="D77" s="22"/>
      <x:c r="E77" s="22"/>
      <x:c r="F77" s="22"/>
      <x:c r="G77" s="28"/>
      <x:c r="H77" s="34" t="n">
        <x:f>SUMIFS(Investment_Transactions!$G:$G,Investment_Transactions!$C:$C,A77,Investment_Transactions!$D:$D,"CONTRIBUTION",Investment_Transactions!$H:$H,"POSTED")</x:f>
        <x:v>0</x:v>
      </x:c>
      <x:c r="I77" s="34" t="n">
        <x:f>SUMIFS(Investment_Transactions!$G:$G,Investment_Transactions!$C:$C,A77,Investment_Transactions!$D:$D,"WITHDRAWAL",Investment_Transactions!$H:$H,"POSTED")</x:f>
        <x:v>0</x:v>
      </x:c>
      <x:c r="J77" s="34" t="n">
        <x:f>SUMIFS(Investment_Transactions!$G:$G,Investment_Transactions!$C:$C,A77,Investment_Transactions!$D:$D,"INCOME",Investment_Transactions!$H:$H,"POSTED")</x:f>
        <x:v>0</x:v>
      </x:c>
      <x:c r="K77" s="24"/>
      <x:c r="L77" s="36" t="n">
        <x:f>K77+I77+J77-H77</x:f>
        <x:v>0</x:v>
      </x:c>
      <x:c r="M77" s="42" t="n">
        <x:f>IFERROR(L77/H77,0)</x:f>
        <x:v>0</x:v>
      </x:c>
      <x:c r="N77" s="42" t="n">
        <x:f>IFERROR(K77/SUM($K$5:$K$100),0)</x:f>
        <x:v>0</x:v>
      </x:c>
      <x:c r="O77" s="26"/>
      <x:c r="P77" s="22"/>
      <x:c r="Q77" s="28"/>
      <x:c r="R77" s="22"/>
      <x:c r="S77" s="22"/>
    </x:row>
    <x:row r="78">
      <x:c r="A78" s="22"/>
      <x:c r="B78" s="22"/>
      <x:c r="C78" s="22"/>
      <x:c r="D78" s="22"/>
      <x:c r="E78" s="22"/>
      <x:c r="F78" s="22"/>
      <x:c r="G78" s="28"/>
      <x:c r="H78" s="34" t="n">
        <x:f>SUMIFS(Investment_Transactions!$G:$G,Investment_Transactions!$C:$C,A78,Investment_Transactions!$D:$D,"CONTRIBUTION",Investment_Transactions!$H:$H,"POSTED")</x:f>
        <x:v>0</x:v>
      </x:c>
      <x:c r="I78" s="34" t="n">
        <x:f>SUMIFS(Investment_Transactions!$G:$G,Investment_Transactions!$C:$C,A78,Investment_Transactions!$D:$D,"WITHDRAWAL",Investment_Transactions!$H:$H,"POSTED")</x:f>
        <x:v>0</x:v>
      </x:c>
      <x:c r="J78" s="34" t="n">
        <x:f>SUMIFS(Investment_Transactions!$G:$G,Investment_Transactions!$C:$C,A78,Investment_Transactions!$D:$D,"INCOME",Investment_Transactions!$H:$H,"POSTED")</x:f>
        <x:v>0</x:v>
      </x:c>
      <x:c r="K78" s="24"/>
      <x:c r="L78" s="36" t="n">
        <x:f>K78+I78+J78-H78</x:f>
        <x:v>0</x:v>
      </x:c>
      <x:c r="M78" s="42" t="n">
        <x:f>IFERROR(L78/H78,0)</x:f>
        <x:v>0</x:v>
      </x:c>
      <x:c r="N78" s="42" t="n">
        <x:f>IFERROR(K78/SUM($K$5:$K$100),0)</x:f>
        <x:v>0</x:v>
      </x:c>
      <x:c r="O78" s="26"/>
      <x:c r="P78" s="22"/>
      <x:c r="Q78" s="28"/>
      <x:c r="R78" s="22"/>
      <x:c r="S78" s="22"/>
    </x:row>
    <x:row r="79">
      <x:c r="A79" s="22"/>
      <x:c r="B79" s="22"/>
      <x:c r="C79" s="22"/>
      <x:c r="D79" s="22"/>
      <x:c r="E79" s="22"/>
      <x:c r="F79" s="22"/>
      <x:c r="G79" s="28"/>
      <x:c r="H79" s="34" t="n">
        <x:f>SUMIFS(Investment_Transactions!$G:$G,Investment_Transactions!$C:$C,A79,Investment_Transactions!$D:$D,"CONTRIBUTION",Investment_Transactions!$H:$H,"POSTED")</x:f>
        <x:v>0</x:v>
      </x:c>
      <x:c r="I79" s="34" t="n">
        <x:f>SUMIFS(Investment_Transactions!$G:$G,Investment_Transactions!$C:$C,A79,Investment_Transactions!$D:$D,"WITHDRAWAL",Investment_Transactions!$H:$H,"POSTED")</x:f>
        <x:v>0</x:v>
      </x:c>
      <x:c r="J79" s="34" t="n">
        <x:f>SUMIFS(Investment_Transactions!$G:$G,Investment_Transactions!$C:$C,A79,Investment_Transactions!$D:$D,"INCOME",Investment_Transactions!$H:$H,"POSTED")</x:f>
        <x:v>0</x:v>
      </x:c>
      <x:c r="K79" s="24"/>
      <x:c r="L79" s="36" t="n">
        <x:f>K79+I79+J79-H79</x:f>
        <x:v>0</x:v>
      </x:c>
      <x:c r="M79" s="42" t="n">
        <x:f>IFERROR(L79/H79,0)</x:f>
        <x:v>0</x:v>
      </x:c>
      <x:c r="N79" s="42" t="n">
        <x:f>IFERROR(K79/SUM($K$5:$K$100),0)</x:f>
        <x:v>0</x:v>
      </x:c>
      <x:c r="O79" s="26"/>
      <x:c r="P79" s="22"/>
      <x:c r="Q79" s="28"/>
      <x:c r="R79" s="22"/>
      <x:c r="S79" s="22"/>
    </x:row>
    <x:row r="80">
      <x:c r="A80" s="22"/>
      <x:c r="B80" s="22"/>
      <x:c r="C80" s="22"/>
      <x:c r="D80" s="22"/>
      <x:c r="E80" s="22"/>
      <x:c r="F80" s="22"/>
      <x:c r="G80" s="28"/>
      <x:c r="H80" s="34" t="n">
        <x:f>SUMIFS(Investment_Transactions!$G:$G,Investment_Transactions!$C:$C,A80,Investment_Transactions!$D:$D,"CONTRIBUTION",Investment_Transactions!$H:$H,"POSTED")</x:f>
        <x:v>0</x:v>
      </x:c>
      <x:c r="I80" s="34" t="n">
        <x:f>SUMIFS(Investment_Transactions!$G:$G,Investment_Transactions!$C:$C,A80,Investment_Transactions!$D:$D,"WITHDRAWAL",Investment_Transactions!$H:$H,"POSTED")</x:f>
        <x:v>0</x:v>
      </x:c>
      <x:c r="J80" s="34" t="n">
        <x:f>SUMIFS(Investment_Transactions!$G:$G,Investment_Transactions!$C:$C,A80,Investment_Transactions!$D:$D,"INCOME",Investment_Transactions!$H:$H,"POSTED")</x:f>
        <x:v>0</x:v>
      </x:c>
      <x:c r="K80" s="24"/>
      <x:c r="L80" s="36" t="n">
        <x:f>K80+I80+J80-H80</x:f>
        <x:v>0</x:v>
      </x:c>
      <x:c r="M80" s="42" t="n">
        <x:f>IFERROR(L80/H80,0)</x:f>
        <x:v>0</x:v>
      </x:c>
      <x:c r="N80" s="42" t="n">
        <x:f>IFERROR(K80/SUM($K$5:$K$100),0)</x:f>
        <x:v>0</x:v>
      </x:c>
      <x:c r="O80" s="26"/>
      <x:c r="P80" s="22"/>
      <x:c r="Q80" s="28"/>
      <x:c r="R80" s="22"/>
      <x:c r="S80" s="22"/>
    </x:row>
    <x:row r="81">
      <x:c r="A81" s="22"/>
      <x:c r="B81" s="22"/>
      <x:c r="C81" s="22"/>
      <x:c r="D81" s="22"/>
      <x:c r="E81" s="22"/>
      <x:c r="F81" s="22"/>
      <x:c r="G81" s="28"/>
      <x:c r="H81" s="34" t="n">
        <x:f>SUMIFS(Investment_Transactions!$G:$G,Investment_Transactions!$C:$C,A81,Investment_Transactions!$D:$D,"CONTRIBUTION",Investment_Transactions!$H:$H,"POSTED")</x:f>
        <x:v>0</x:v>
      </x:c>
      <x:c r="I81" s="34" t="n">
        <x:f>SUMIFS(Investment_Transactions!$G:$G,Investment_Transactions!$C:$C,A81,Investment_Transactions!$D:$D,"WITHDRAWAL",Investment_Transactions!$H:$H,"POSTED")</x:f>
        <x:v>0</x:v>
      </x:c>
      <x:c r="J81" s="34" t="n">
        <x:f>SUMIFS(Investment_Transactions!$G:$G,Investment_Transactions!$C:$C,A81,Investment_Transactions!$D:$D,"INCOME",Investment_Transactions!$H:$H,"POSTED")</x:f>
        <x:v>0</x:v>
      </x:c>
      <x:c r="K81" s="24"/>
      <x:c r="L81" s="36" t="n">
        <x:f>K81+I81+J81-H81</x:f>
        <x:v>0</x:v>
      </x:c>
      <x:c r="M81" s="42" t="n">
        <x:f>IFERROR(L81/H81,0)</x:f>
        <x:v>0</x:v>
      </x:c>
      <x:c r="N81" s="42" t="n">
        <x:f>IFERROR(K81/SUM($K$5:$K$100),0)</x:f>
        <x:v>0</x:v>
      </x:c>
      <x:c r="O81" s="26"/>
      <x:c r="P81" s="22"/>
      <x:c r="Q81" s="28"/>
      <x:c r="R81" s="22"/>
      <x:c r="S81" s="22"/>
    </x:row>
    <x:row r="82">
      <x:c r="A82" s="22"/>
      <x:c r="B82" s="22"/>
      <x:c r="C82" s="22"/>
      <x:c r="D82" s="22"/>
      <x:c r="E82" s="22"/>
      <x:c r="F82" s="22"/>
      <x:c r="G82" s="28"/>
      <x:c r="H82" s="34" t="n">
        <x:f>SUMIFS(Investment_Transactions!$G:$G,Investment_Transactions!$C:$C,A82,Investment_Transactions!$D:$D,"CONTRIBUTION",Investment_Transactions!$H:$H,"POSTED")</x:f>
        <x:v>0</x:v>
      </x:c>
      <x:c r="I82" s="34" t="n">
        <x:f>SUMIFS(Investment_Transactions!$G:$G,Investment_Transactions!$C:$C,A82,Investment_Transactions!$D:$D,"WITHDRAWAL",Investment_Transactions!$H:$H,"POSTED")</x:f>
        <x:v>0</x:v>
      </x:c>
      <x:c r="J82" s="34" t="n">
        <x:f>SUMIFS(Investment_Transactions!$G:$G,Investment_Transactions!$C:$C,A82,Investment_Transactions!$D:$D,"INCOME",Investment_Transactions!$H:$H,"POSTED")</x:f>
        <x:v>0</x:v>
      </x:c>
      <x:c r="K82" s="24"/>
      <x:c r="L82" s="36" t="n">
        <x:f>K82+I82+J82-H82</x:f>
        <x:v>0</x:v>
      </x:c>
      <x:c r="M82" s="42" t="n">
        <x:f>IFERROR(L82/H82,0)</x:f>
        <x:v>0</x:v>
      </x:c>
      <x:c r="N82" s="42" t="n">
        <x:f>IFERROR(K82/SUM($K$5:$K$100),0)</x:f>
        <x:v>0</x:v>
      </x:c>
      <x:c r="O82" s="26"/>
      <x:c r="P82" s="22"/>
      <x:c r="Q82" s="28"/>
      <x:c r="R82" s="22"/>
      <x:c r="S82" s="22"/>
    </x:row>
    <x:row r="83">
      <x:c r="A83" s="22"/>
      <x:c r="B83" s="22"/>
      <x:c r="C83" s="22"/>
      <x:c r="D83" s="22"/>
      <x:c r="E83" s="22"/>
      <x:c r="F83" s="22"/>
      <x:c r="G83" s="28"/>
      <x:c r="H83" s="34" t="n">
        <x:f>SUMIFS(Investment_Transactions!$G:$G,Investment_Transactions!$C:$C,A83,Investment_Transactions!$D:$D,"CONTRIBUTION",Investment_Transactions!$H:$H,"POSTED")</x:f>
        <x:v>0</x:v>
      </x:c>
      <x:c r="I83" s="34" t="n">
        <x:f>SUMIFS(Investment_Transactions!$G:$G,Investment_Transactions!$C:$C,A83,Investment_Transactions!$D:$D,"WITHDRAWAL",Investment_Transactions!$H:$H,"POSTED")</x:f>
        <x:v>0</x:v>
      </x:c>
      <x:c r="J83" s="34" t="n">
        <x:f>SUMIFS(Investment_Transactions!$G:$G,Investment_Transactions!$C:$C,A83,Investment_Transactions!$D:$D,"INCOME",Investment_Transactions!$H:$H,"POSTED")</x:f>
        <x:v>0</x:v>
      </x:c>
      <x:c r="K83" s="24"/>
      <x:c r="L83" s="36" t="n">
        <x:f>K83+I83+J83-H83</x:f>
        <x:v>0</x:v>
      </x:c>
      <x:c r="M83" s="42" t="n">
        <x:f>IFERROR(L83/H83,0)</x:f>
        <x:v>0</x:v>
      </x:c>
      <x:c r="N83" s="42" t="n">
        <x:f>IFERROR(K83/SUM($K$5:$K$100),0)</x:f>
        <x:v>0</x:v>
      </x:c>
      <x:c r="O83" s="26"/>
      <x:c r="P83" s="22"/>
      <x:c r="Q83" s="28"/>
      <x:c r="R83" s="22"/>
      <x:c r="S83" s="22"/>
    </x:row>
    <x:row r="84">
      <x:c r="A84" s="22"/>
      <x:c r="B84" s="22"/>
      <x:c r="C84" s="22"/>
      <x:c r="D84" s="22"/>
      <x:c r="E84" s="22"/>
      <x:c r="F84" s="22"/>
      <x:c r="G84" s="28"/>
      <x:c r="H84" s="34" t="n">
        <x:f>SUMIFS(Investment_Transactions!$G:$G,Investment_Transactions!$C:$C,A84,Investment_Transactions!$D:$D,"CONTRIBUTION",Investment_Transactions!$H:$H,"POSTED")</x:f>
        <x:v>0</x:v>
      </x:c>
      <x:c r="I84" s="34" t="n">
        <x:f>SUMIFS(Investment_Transactions!$G:$G,Investment_Transactions!$C:$C,A84,Investment_Transactions!$D:$D,"WITHDRAWAL",Investment_Transactions!$H:$H,"POSTED")</x:f>
        <x:v>0</x:v>
      </x:c>
      <x:c r="J84" s="34" t="n">
        <x:f>SUMIFS(Investment_Transactions!$G:$G,Investment_Transactions!$C:$C,A84,Investment_Transactions!$D:$D,"INCOME",Investment_Transactions!$H:$H,"POSTED")</x:f>
        <x:v>0</x:v>
      </x:c>
      <x:c r="K84" s="24"/>
      <x:c r="L84" s="36" t="n">
        <x:f>K84+I84+J84-H84</x:f>
        <x:v>0</x:v>
      </x:c>
      <x:c r="M84" s="42" t="n">
        <x:f>IFERROR(L84/H84,0)</x:f>
        <x:v>0</x:v>
      </x:c>
      <x:c r="N84" s="42" t="n">
        <x:f>IFERROR(K84/SUM($K$5:$K$100),0)</x:f>
        <x:v>0</x:v>
      </x:c>
      <x:c r="O84" s="26"/>
      <x:c r="P84" s="22"/>
      <x:c r="Q84" s="28"/>
      <x:c r="R84" s="22"/>
      <x:c r="S84" s="22"/>
    </x:row>
    <x:row r="85">
      <x:c r="A85" s="22"/>
      <x:c r="B85" s="22"/>
      <x:c r="C85" s="22"/>
      <x:c r="D85" s="22"/>
      <x:c r="E85" s="22"/>
      <x:c r="F85" s="22"/>
      <x:c r="G85" s="28"/>
      <x:c r="H85" s="34" t="n">
        <x:f>SUMIFS(Investment_Transactions!$G:$G,Investment_Transactions!$C:$C,A85,Investment_Transactions!$D:$D,"CONTRIBUTION",Investment_Transactions!$H:$H,"POSTED")</x:f>
        <x:v>0</x:v>
      </x:c>
      <x:c r="I85" s="34" t="n">
        <x:f>SUMIFS(Investment_Transactions!$G:$G,Investment_Transactions!$C:$C,A85,Investment_Transactions!$D:$D,"WITHDRAWAL",Investment_Transactions!$H:$H,"POSTED")</x:f>
        <x:v>0</x:v>
      </x:c>
      <x:c r="J85" s="34" t="n">
        <x:f>SUMIFS(Investment_Transactions!$G:$G,Investment_Transactions!$C:$C,A85,Investment_Transactions!$D:$D,"INCOME",Investment_Transactions!$H:$H,"POSTED")</x:f>
        <x:v>0</x:v>
      </x:c>
      <x:c r="K85" s="24"/>
      <x:c r="L85" s="36" t="n">
        <x:f>K85+I85+J85-H85</x:f>
        <x:v>0</x:v>
      </x:c>
      <x:c r="M85" s="42" t="n">
        <x:f>IFERROR(L85/H85,0)</x:f>
        <x:v>0</x:v>
      </x:c>
      <x:c r="N85" s="42" t="n">
        <x:f>IFERROR(K85/SUM($K$5:$K$100),0)</x:f>
        <x:v>0</x:v>
      </x:c>
      <x:c r="O85" s="26"/>
      <x:c r="P85" s="22"/>
      <x:c r="Q85" s="28"/>
      <x:c r="R85" s="22"/>
      <x:c r="S85" s="22"/>
    </x:row>
    <x:row r="86">
      <x:c r="A86" s="22"/>
      <x:c r="B86" s="22"/>
      <x:c r="C86" s="22"/>
      <x:c r="D86" s="22"/>
      <x:c r="E86" s="22"/>
      <x:c r="F86" s="22"/>
      <x:c r="G86" s="28"/>
      <x:c r="H86" s="34" t="n">
        <x:f>SUMIFS(Investment_Transactions!$G:$G,Investment_Transactions!$C:$C,A86,Investment_Transactions!$D:$D,"CONTRIBUTION",Investment_Transactions!$H:$H,"POSTED")</x:f>
        <x:v>0</x:v>
      </x:c>
      <x:c r="I86" s="34" t="n">
        <x:f>SUMIFS(Investment_Transactions!$G:$G,Investment_Transactions!$C:$C,A86,Investment_Transactions!$D:$D,"WITHDRAWAL",Investment_Transactions!$H:$H,"POSTED")</x:f>
        <x:v>0</x:v>
      </x:c>
      <x:c r="J86" s="34" t="n">
        <x:f>SUMIFS(Investment_Transactions!$G:$G,Investment_Transactions!$C:$C,A86,Investment_Transactions!$D:$D,"INCOME",Investment_Transactions!$H:$H,"POSTED")</x:f>
        <x:v>0</x:v>
      </x:c>
      <x:c r="K86" s="24"/>
      <x:c r="L86" s="36" t="n">
        <x:f>K86+I86+J86-H86</x:f>
        <x:v>0</x:v>
      </x:c>
      <x:c r="M86" s="42" t="n">
        <x:f>IFERROR(L86/H86,0)</x:f>
        <x:v>0</x:v>
      </x:c>
      <x:c r="N86" s="42" t="n">
        <x:f>IFERROR(K86/SUM($K$5:$K$100),0)</x:f>
        <x:v>0</x:v>
      </x:c>
      <x:c r="O86" s="26"/>
      <x:c r="P86" s="22"/>
      <x:c r="Q86" s="28"/>
      <x:c r="R86" s="22"/>
      <x:c r="S86" s="22"/>
    </x:row>
    <x:row r="87">
      <x:c r="A87" s="22"/>
      <x:c r="B87" s="22"/>
      <x:c r="C87" s="22"/>
      <x:c r="D87" s="22"/>
      <x:c r="E87" s="22"/>
      <x:c r="F87" s="22"/>
      <x:c r="G87" s="28"/>
      <x:c r="H87" s="34" t="n">
        <x:f>SUMIFS(Investment_Transactions!$G:$G,Investment_Transactions!$C:$C,A87,Investment_Transactions!$D:$D,"CONTRIBUTION",Investment_Transactions!$H:$H,"POSTED")</x:f>
        <x:v>0</x:v>
      </x:c>
      <x:c r="I87" s="34" t="n">
        <x:f>SUMIFS(Investment_Transactions!$G:$G,Investment_Transactions!$C:$C,A87,Investment_Transactions!$D:$D,"WITHDRAWAL",Investment_Transactions!$H:$H,"POSTED")</x:f>
        <x:v>0</x:v>
      </x:c>
      <x:c r="J87" s="34" t="n">
        <x:f>SUMIFS(Investment_Transactions!$G:$G,Investment_Transactions!$C:$C,A87,Investment_Transactions!$D:$D,"INCOME",Investment_Transactions!$H:$H,"POSTED")</x:f>
        <x:v>0</x:v>
      </x:c>
      <x:c r="K87" s="24"/>
      <x:c r="L87" s="36" t="n">
        <x:f>K87+I87+J87-H87</x:f>
        <x:v>0</x:v>
      </x:c>
      <x:c r="M87" s="42" t="n">
        <x:f>IFERROR(L87/H87,0)</x:f>
        <x:v>0</x:v>
      </x:c>
      <x:c r="N87" s="42" t="n">
        <x:f>IFERROR(K87/SUM($K$5:$K$100),0)</x:f>
        <x:v>0</x:v>
      </x:c>
      <x:c r="O87" s="26"/>
      <x:c r="P87" s="22"/>
      <x:c r="Q87" s="28"/>
      <x:c r="R87" s="22"/>
      <x:c r="S87" s="22"/>
    </x:row>
    <x:row r="88">
      <x:c r="A88" s="22"/>
      <x:c r="B88" s="22"/>
      <x:c r="C88" s="22"/>
      <x:c r="D88" s="22"/>
      <x:c r="E88" s="22"/>
      <x:c r="F88" s="22"/>
      <x:c r="G88" s="28"/>
      <x:c r="H88" s="34" t="n">
        <x:f>SUMIFS(Investment_Transactions!$G:$G,Investment_Transactions!$C:$C,A88,Investment_Transactions!$D:$D,"CONTRIBUTION",Investment_Transactions!$H:$H,"POSTED")</x:f>
        <x:v>0</x:v>
      </x:c>
      <x:c r="I88" s="34" t="n">
        <x:f>SUMIFS(Investment_Transactions!$G:$G,Investment_Transactions!$C:$C,A88,Investment_Transactions!$D:$D,"WITHDRAWAL",Investment_Transactions!$H:$H,"POSTED")</x:f>
        <x:v>0</x:v>
      </x:c>
      <x:c r="J88" s="34" t="n">
        <x:f>SUMIFS(Investment_Transactions!$G:$G,Investment_Transactions!$C:$C,A88,Investment_Transactions!$D:$D,"INCOME",Investment_Transactions!$H:$H,"POSTED")</x:f>
        <x:v>0</x:v>
      </x:c>
      <x:c r="K88" s="24"/>
      <x:c r="L88" s="36" t="n">
        <x:f>K88+I88+J88-H88</x:f>
        <x:v>0</x:v>
      </x:c>
      <x:c r="M88" s="42" t="n">
        <x:f>IFERROR(L88/H88,0)</x:f>
        <x:v>0</x:v>
      </x:c>
      <x:c r="N88" s="42" t="n">
        <x:f>IFERROR(K88/SUM($K$5:$K$100),0)</x:f>
        <x:v>0</x:v>
      </x:c>
      <x:c r="O88" s="26"/>
      <x:c r="P88" s="22"/>
      <x:c r="Q88" s="28"/>
      <x:c r="R88" s="22"/>
      <x:c r="S88" s="22"/>
    </x:row>
    <x:row r="89">
      <x:c r="A89" s="22"/>
      <x:c r="B89" s="22"/>
      <x:c r="C89" s="22"/>
      <x:c r="D89" s="22"/>
      <x:c r="E89" s="22"/>
      <x:c r="F89" s="22"/>
      <x:c r="G89" s="28"/>
      <x:c r="H89" s="34" t="n">
        <x:f>SUMIFS(Investment_Transactions!$G:$G,Investment_Transactions!$C:$C,A89,Investment_Transactions!$D:$D,"CONTRIBUTION",Investment_Transactions!$H:$H,"POSTED")</x:f>
        <x:v>0</x:v>
      </x:c>
      <x:c r="I89" s="34" t="n">
        <x:f>SUMIFS(Investment_Transactions!$G:$G,Investment_Transactions!$C:$C,A89,Investment_Transactions!$D:$D,"WITHDRAWAL",Investment_Transactions!$H:$H,"POSTED")</x:f>
        <x:v>0</x:v>
      </x:c>
      <x:c r="J89" s="34" t="n">
        <x:f>SUMIFS(Investment_Transactions!$G:$G,Investment_Transactions!$C:$C,A89,Investment_Transactions!$D:$D,"INCOME",Investment_Transactions!$H:$H,"POSTED")</x:f>
        <x:v>0</x:v>
      </x:c>
      <x:c r="K89" s="24"/>
      <x:c r="L89" s="36" t="n">
        <x:f>K89+I89+J89-H89</x:f>
        <x:v>0</x:v>
      </x:c>
      <x:c r="M89" s="42" t="n">
        <x:f>IFERROR(L89/H89,0)</x:f>
        <x:v>0</x:v>
      </x:c>
      <x:c r="N89" s="42" t="n">
        <x:f>IFERROR(K89/SUM($K$5:$K$100),0)</x:f>
        <x:v>0</x:v>
      </x:c>
      <x:c r="O89" s="26"/>
      <x:c r="P89" s="22"/>
      <x:c r="Q89" s="28"/>
      <x:c r="R89" s="22"/>
      <x:c r="S89" s="22"/>
    </x:row>
    <x:row r="90">
      <x:c r="A90" s="22"/>
      <x:c r="B90" s="22"/>
      <x:c r="C90" s="22"/>
      <x:c r="D90" s="22"/>
      <x:c r="E90" s="22"/>
      <x:c r="F90" s="22"/>
      <x:c r="G90" s="28"/>
      <x:c r="H90" s="34" t="n">
        <x:f>SUMIFS(Investment_Transactions!$G:$G,Investment_Transactions!$C:$C,A90,Investment_Transactions!$D:$D,"CONTRIBUTION",Investment_Transactions!$H:$H,"POSTED")</x:f>
        <x:v>0</x:v>
      </x:c>
      <x:c r="I90" s="34" t="n">
        <x:f>SUMIFS(Investment_Transactions!$G:$G,Investment_Transactions!$C:$C,A90,Investment_Transactions!$D:$D,"WITHDRAWAL",Investment_Transactions!$H:$H,"POSTED")</x:f>
        <x:v>0</x:v>
      </x:c>
      <x:c r="J90" s="34" t="n">
        <x:f>SUMIFS(Investment_Transactions!$G:$G,Investment_Transactions!$C:$C,A90,Investment_Transactions!$D:$D,"INCOME",Investment_Transactions!$H:$H,"POSTED")</x:f>
        <x:v>0</x:v>
      </x:c>
      <x:c r="K90" s="24"/>
      <x:c r="L90" s="36" t="n">
        <x:f>K90+I90+J90-H90</x:f>
        <x:v>0</x:v>
      </x:c>
      <x:c r="M90" s="42" t="n">
        <x:f>IFERROR(L90/H90,0)</x:f>
        <x:v>0</x:v>
      </x:c>
      <x:c r="N90" s="42" t="n">
        <x:f>IFERROR(K90/SUM($K$5:$K$100),0)</x:f>
        <x:v>0</x:v>
      </x:c>
      <x:c r="O90" s="26"/>
      <x:c r="P90" s="22"/>
      <x:c r="Q90" s="28"/>
      <x:c r="R90" s="22"/>
      <x:c r="S90" s="22"/>
    </x:row>
    <x:row r="91">
      <x:c r="A91" s="22"/>
      <x:c r="B91" s="22"/>
      <x:c r="C91" s="22"/>
      <x:c r="D91" s="22"/>
      <x:c r="E91" s="22"/>
      <x:c r="F91" s="22"/>
      <x:c r="G91" s="28"/>
      <x:c r="H91" s="34" t="n">
        <x:f>SUMIFS(Investment_Transactions!$G:$G,Investment_Transactions!$C:$C,A91,Investment_Transactions!$D:$D,"CONTRIBUTION",Investment_Transactions!$H:$H,"POSTED")</x:f>
        <x:v>0</x:v>
      </x:c>
      <x:c r="I91" s="34" t="n">
        <x:f>SUMIFS(Investment_Transactions!$G:$G,Investment_Transactions!$C:$C,A91,Investment_Transactions!$D:$D,"WITHDRAWAL",Investment_Transactions!$H:$H,"POSTED")</x:f>
        <x:v>0</x:v>
      </x:c>
      <x:c r="J91" s="34" t="n">
        <x:f>SUMIFS(Investment_Transactions!$G:$G,Investment_Transactions!$C:$C,A91,Investment_Transactions!$D:$D,"INCOME",Investment_Transactions!$H:$H,"POSTED")</x:f>
        <x:v>0</x:v>
      </x:c>
      <x:c r="K91" s="24"/>
      <x:c r="L91" s="36" t="n">
        <x:f>K91+I91+J91-H91</x:f>
        <x:v>0</x:v>
      </x:c>
      <x:c r="M91" s="42" t="n">
        <x:f>IFERROR(L91/H91,0)</x:f>
        <x:v>0</x:v>
      </x:c>
      <x:c r="N91" s="42" t="n">
        <x:f>IFERROR(K91/SUM($K$5:$K$100),0)</x:f>
        <x:v>0</x:v>
      </x:c>
      <x:c r="O91" s="26"/>
      <x:c r="P91" s="22"/>
      <x:c r="Q91" s="28"/>
      <x:c r="R91" s="22"/>
      <x:c r="S91" s="22"/>
    </x:row>
    <x:row r="92">
      <x:c r="A92" s="22"/>
      <x:c r="B92" s="22"/>
      <x:c r="C92" s="22"/>
      <x:c r="D92" s="22"/>
      <x:c r="E92" s="22"/>
      <x:c r="F92" s="22"/>
      <x:c r="G92" s="28"/>
      <x:c r="H92" s="34" t="n">
        <x:f>SUMIFS(Investment_Transactions!$G:$G,Investment_Transactions!$C:$C,A92,Investment_Transactions!$D:$D,"CONTRIBUTION",Investment_Transactions!$H:$H,"POSTED")</x:f>
        <x:v>0</x:v>
      </x:c>
      <x:c r="I92" s="34" t="n">
        <x:f>SUMIFS(Investment_Transactions!$G:$G,Investment_Transactions!$C:$C,A92,Investment_Transactions!$D:$D,"WITHDRAWAL",Investment_Transactions!$H:$H,"POSTED")</x:f>
        <x:v>0</x:v>
      </x:c>
      <x:c r="J92" s="34" t="n">
        <x:f>SUMIFS(Investment_Transactions!$G:$G,Investment_Transactions!$C:$C,A92,Investment_Transactions!$D:$D,"INCOME",Investment_Transactions!$H:$H,"POSTED")</x:f>
        <x:v>0</x:v>
      </x:c>
      <x:c r="K92" s="24"/>
      <x:c r="L92" s="36" t="n">
        <x:f>K92+I92+J92-H92</x:f>
        <x:v>0</x:v>
      </x:c>
      <x:c r="M92" s="42" t="n">
        <x:f>IFERROR(L92/H92,0)</x:f>
        <x:v>0</x:v>
      </x:c>
      <x:c r="N92" s="42" t="n">
        <x:f>IFERROR(K92/SUM($K$5:$K$100),0)</x:f>
        <x:v>0</x:v>
      </x:c>
      <x:c r="O92" s="26"/>
      <x:c r="P92" s="22"/>
      <x:c r="Q92" s="28"/>
      <x:c r="R92" s="22"/>
      <x:c r="S92" s="22"/>
    </x:row>
    <x:row r="93">
      <x:c r="A93" s="22"/>
      <x:c r="B93" s="22"/>
      <x:c r="C93" s="22"/>
      <x:c r="D93" s="22"/>
      <x:c r="E93" s="22"/>
      <x:c r="F93" s="22"/>
      <x:c r="G93" s="28"/>
      <x:c r="H93" s="34" t="n">
        <x:f>SUMIFS(Investment_Transactions!$G:$G,Investment_Transactions!$C:$C,A93,Investment_Transactions!$D:$D,"CONTRIBUTION",Investment_Transactions!$H:$H,"POSTED")</x:f>
        <x:v>0</x:v>
      </x:c>
      <x:c r="I93" s="34" t="n">
        <x:f>SUMIFS(Investment_Transactions!$G:$G,Investment_Transactions!$C:$C,A93,Investment_Transactions!$D:$D,"WITHDRAWAL",Investment_Transactions!$H:$H,"POSTED")</x:f>
        <x:v>0</x:v>
      </x:c>
      <x:c r="J93" s="34" t="n">
        <x:f>SUMIFS(Investment_Transactions!$G:$G,Investment_Transactions!$C:$C,A93,Investment_Transactions!$D:$D,"INCOME",Investment_Transactions!$H:$H,"POSTED")</x:f>
        <x:v>0</x:v>
      </x:c>
      <x:c r="K93" s="24"/>
      <x:c r="L93" s="36" t="n">
        <x:f>K93+I93+J93-H93</x:f>
        <x:v>0</x:v>
      </x:c>
      <x:c r="M93" s="42" t="n">
        <x:f>IFERROR(L93/H93,0)</x:f>
        <x:v>0</x:v>
      </x:c>
      <x:c r="N93" s="42" t="n">
        <x:f>IFERROR(K93/SUM($K$5:$K$100),0)</x:f>
        <x:v>0</x:v>
      </x:c>
      <x:c r="O93" s="26"/>
      <x:c r="P93" s="22"/>
      <x:c r="Q93" s="28"/>
      <x:c r="R93" s="22"/>
      <x:c r="S93" s="22"/>
    </x:row>
    <x:row r="94">
      <x:c r="A94" s="22"/>
      <x:c r="B94" s="22"/>
      <x:c r="C94" s="22"/>
      <x:c r="D94" s="22"/>
      <x:c r="E94" s="22"/>
      <x:c r="F94" s="22"/>
      <x:c r="G94" s="28"/>
      <x:c r="H94" s="34" t="n">
        <x:f>SUMIFS(Investment_Transactions!$G:$G,Investment_Transactions!$C:$C,A94,Investment_Transactions!$D:$D,"CONTRIBUTION",Investment_Transactions!$H:$H,"POSTED")</x:f>
        <x:v>0</x:v>
      </x:c>
      <x:c r="I94" s="34" t="n">
        <x:f>SUMIFS(Investment_Transactions!$G:$G,Investment_Transactions!$C:$C,A94,Investment_Transactions!$D:$D,"WITHDRAWAL",Investment_Transactions!$H:$H,"POSTED")</x:f>
        <x:v>0</x:v>
      </x:c>
      <x:c r="J94" s="34" t="n">
        <x:f>SUMIFS(Investment_Transactions!$G:$G,Investment_Transactions!$C:$C,A94,Investment_Transactions!$D:$D,"INCOME",Investment_Transactions!$H:$H,"POSTED")</x:f>
        <x:v>0</x:v>
      </x:c>
      <x:c r="K94" s="24"/>
      <x:c r="L94" s="36" t="n">
        <x:f>K94+I94+J94-H94</x:f>
        <x:v>0</x:v>
      </x:c>
      <x:c r="M94" s="42" t="n">
        <x:f>IFERROR(L94/H94,0)</x:f>
        <x:v>0</x:v>
      </x:c>
      <x:c r="N94" s="42" t="n">
        <x:f>IFERROR(K94/SUM($K$5:$K$100),0)</x:f>
        <x:v>0</x:v>
      </x:c>
      <x:c r="O94" s="26"/>
      <x:c r="P94" s="22"/>
      <x:c r="Q94" s="28"/>
      <x:c r="R94" s="22"/>
      <x:c r="S94" s="22"/>
    </x:row>
    <x:row r="95">
      <x:c r="A95" s="22"/>
      <x:c r="B95" s="22"/>
      <x:c r="C95" s="22"/>
      <x:c r="D95" s="22"/>
      <x:c r="E95" s="22"/>
      <x:c r="F95" s="22"/>
      <x:c r="G95" s="28"/>
      <x:c r="H95" s="34" t="n">
        <x:f>SUMIFS(Investment_Transactions!$G:$G,Investment_Transactions!$C:$C,A95,Investment_Transactions!$D:$D,"CONTRIBUTION",Investment_Transactions!$H:$H,"POSTED")</x:f>
        <x:v>0</x:v>
      </x:c>
      <x:c r="I95" s="34" t="n">
        <x:f>SUMIFS(Investment_Transactions!$G:$G,Investment_Transactions!$C:$C,A95,Investment_Transactions!$D:$D,"WITHDRAWAL",Investment_Transactions!$H:$H,"POSTED")</x:f>
        <x:v>0</x:v>
      </x:c>
      <x:c r="J95" s="34" t="n">
        <x:f>SUMIFS(Investment_Transactions!$G:$G,Investment_Transactions!$C:$C,A95,Investment_Transactions!$D:$D,"INCOME",Investment_Transactions!$H:$H,"POSTED")</x:f>
        <x:v>0</x:v>
      </x:c>
      <x:c r="K95" s="24"/>
      <x:c r="L95" s="36" t="n">
        <x:f>K95+I95+J95-H95</x:f>
        <x:v>0</x:v>
      </x:c>
      <x:c r="M95" s="42" t="n">
        <x:f>IFERROR(L95/H95,0)</x:f>
        <x:v>0</x:v>
      </x:c>
      <x:c r="N95" s="42" t="n">
        <x:f>IFERROR(K95/SUM($K$5:$K$100),0)</x:f>
        <x:v>0</x:v>
      </x:c>
      <x:c r="O95" s="26"/>
      <x:c r="P95" s="22"/>
      <x:c r="Q95" s="28"/>
      <x:c r="R95" s="22"/>
      <x:c r="S95" s="22"/>
    </x:row>
    <x:row r="96">
      <x:c r="A96" s="22"/>
      <x:c r="B96" s="22"/>
      <x:c r="C96" s="22"/>
      <x:c r="D96" s="22"/>
      <x:c r="E96" s="22"/>
      <x:c r="F96" s="22"/>
      <x:c r="G96" s="28"/>
      <x:c r="H96" s="34" t="n">
        <x:f>SUMIFS(Investment_Transactions!$G:$G,Investment_Transactions!$C:$C,A96,Investment_Transactions!$D:$D,"CONTRIBUTION",Investment_Transactions!$H:$H,"POSTED")</x:f>
        <x:v>0</x:v>
      </x:c>
      <x:c r="I96" s="34" t="n">
        <x:f>SUMIFS(Investment_Transactions!$G:$G,Investment_Transactions!$C:$C,A96,Investment_Transactions!$D:$D,"WITHDRAWAL",Investment_Transactions!$H:$H,"POSTED")</x:f>
        <x:v>0</x:v>
      </x:c>
      <x:c r="J96" s="34" t="n">
        <x:f>SUMIFS(Investment_Transactions!$G:$G,Investment_Transactions!$C:$C,A96,Investment_Transactions!$D:$D,"INCOME",Investment_Transactions!$H:$H,"POSTED")</x:f>
        <x:v>0</x:v>
      </x:c>
      <x:c r="K96" s="24"/>
      <x:c r="L96" s="36" t="n">
        <x:f>K96+I96+J96-H96</x:f>
        <x:v>0</x:v>
      </x:c>
      <x:c r="M96" s="42" t="n">
        <x:f>IFERROR(L96/H96,0)</x:f>
        <x:v>0</x:v>
      </x:c>
      <x:c r="N96" s="42" t="n">
        <x:f>IFERROR(K96/SUM($K$5:$K$100),0)</x:f>
        <x:v>0</x:v>
      </x:c>
      <x:c r="O96" s="26"/>
      <x:c r="P96" s="22"/>
      <x:c r="Q96" s="28"/>
      <x:c r="R96" s="22"/>
      <x:c r="S96" s="22"/>
    </x:row>
    <x:row r="97">
      <x:c r="A97" s="22"/>
      <x:c r="B97" s="22"/>
      <x:c r="C97" s="22"/>
      <x:c r="D97" s="22"/>
      <x:c r="E97" s="22"/>
      <x:c r="F97" s="22"/>
      <x:c r="G97" s="28"/>
      <x:c r="H97" s="34" t="n">
        <x:f>SUMIFS(Investment_Transactions!$G:$G,Investment_Transactions!$C:$C,A97,Investment_Transactions!$D:$D,"CONTRIBUTION",Investment_Transactions!$H:$H,"POSTED")</x:f>
        <x:v>0</x:v>
      </x:c>
      <x:c r="I97" s="34" t="n">
        <x:f>SUMIFS(Investment_Transactions!$G:$G,Investment_Transactions!$C:$C,A97,Investment_Transactions!$D:$D,"WITHDRAWAL",Investment_Transactions!$H:$H,"POSTED")</x:f>
        <x:v>0</x:v>
      </x:c>
      <x:c r="J97" s="34" t="n">
        <x:f>SUMIFS(Investment_Transactions!$G:$G,Investment_Transactions!$C:$C,A97,Investment_Transactions!$D:$D,"INCOME",Investment_Transactions!$H:$H,"POSTED")</x:f>
        <x:v>0</x:v>
      </x:c>
      <x:c r="K97" s="24"/>
      <x:c r="L97" s="36" t="n">
        <x:f>K97+I97+J97-H97</x:f>
        <x:v>0</x:v>
      </x:c>
      <x:c r="M97" s="42" t="n">
        <x:f>IFERROR(L97/H97,0)</x:f>
        <x:v>0</x:v>
      </x:c>
      <x:c r="N97" s="42" t="n">
        <x:f>IFERROR(K97/SUM($K$5:$K$100),0)</x:f>
        <x:v>0</x:v>
      </x:c>
      <x:c r="O97" s="26"/>
      <x:c r="P97" s="22"/>
      <x:c r="Q97" s="28"/>
      <x:c r="R97" s="22"/>
      <x:c r="S97" s="22"/>
    </x:row>
    <x:row r="98">
      <x:c r="A98" s="22"/>
      <x:c r="B98" s="22"/>
      <x:c r="C98" s="22"/>
      <x:c r="D98" s="22"/>
      <x:c r="E98" s="22"/>
      <x:c r="F98" s="22"/>
      <x:c r="G98" s="28"/>
      <x:c r="H98" s="34" t="n">
        <x:f>SUMIFS(Investment_Transactions!$G:$G,Investment_Transactions!$C:$C,A98,Investment_Transactions!$D:$D,"CONTRIBUTION",Investment_Transactions!$H:$H,"POSTED")</x:f>
        <x:v>0</x:v>
      </x:c>
      <x:c r="I98" s="34" t="n">
        <x:f>SUMIFS(Investment_Transactions!$G:$G,Investment_Transactions!$C:$C,A98,Investment_Transactions!$D:$D,"WITHDRAWAL",Investment_Transactions!$H:$H,"POSTED")</x:f>
        <x:v>0</x:v>
      </x:c>
      <x:c r="J98" s="34" t="n">
        <x:f>SUMIFS(Investment_Transactions!$G:$G,Investment_Transactions!$C:$C,A98,Investment_Transactions!$D:$D,"INCOME",Investment_Transactions!$H:$H,"POSTED")</x:f>
        <x:v>0</x:v>
      </x:c>
      <x:c r="K98" s="24"/>
      <x:c r="L98" s="36" t="n">
        <x:f>K98+I98+J98-H98</x:f>
        <x:v>0</x:v>
      </x:c>
      <x:c r="M98" s="42" t="n">
        <x:f>IFERROR(L98/H98,0)</x:f>
        <x:v>0</x:v>
      </x:c>
      <x:c r="N98" s="42" t="n">
        <x:f>IFERROR(K98/SUM($K$5:$K$100),0)</x:f>
        <x:v>0</x:v>
      </x:c>
      <x:c r="O98" s="26"/>
      <x:c r="P98" s="22"/>
      <x:c r="Q98" s="28"/>
      <x:c r="R98" s="22"/>
      <x:c r="S98" s="22"/>
    </x:row>
    <x:row r="99">
      <x:c r="A99" s="22"/>
      <x:c r="B99" s="22"/>
      <x:c r="C99" s="22"/>
      <x:c r="D99" s="22"/>
      <x:c r="E99" s="22"/>
      <x:c r="F99" s="22"/>
      <x:c r="G99" s="28"/>
      <x:c r="H99" s="34" t="n">
        <x:f>SUMIFS(Investment_Transactions!$G:$G,Investment_Transactions!$C:$C,A99,Investment_Transactions!$D:$D,"CONTRIBUTION",Investment_Transactions!$H:$H,"POSTED")</x:f>
        <x:v>0</x:v>
      </x:c>
      <x:c r="I99" s="34" t="n">
        <x:f>SUMIFS(Investment_Transactions!$G:$G,Investment_Transactions!$C:$C,A99,Investment_Transactions!$D:$D,"WITHDRAWAL",Investment_Transactions!$H:$H,"POSTED")</x:f>
        <x:v>0</x:v>
      </x:c>
      <x:c r="J99" s="34" t="n">
        <x:f>SUMIFS(Investment_Transactions!$G:$G,Investment_Transactions!$C:$C,A99,Investment_Transactions!$D:$D,"INCOME",Investment_Transactions!$H:$H,"POSTED")</x:f>
        <x:v>0</x:v>
      </x:c>
      <x:c r="K99" s="24"/>
      <x:c r="L99" s="36" t="n">
        <x:f>K99+I99+J99-H99</x:f>
        <x:v>0</x:v>
      </x:c>
      <x:c r="M99" s="42" t="n">
        <x:f>IFERROR(L99/H99,0)</x:f>
        <x:v>0</x:v>
      </x:c>
      <x:c r="N99" s="42" t="n">
        <x:f>IFERROR(K99/SUM($K$5:$K$100),0)</x:f>
        <x:v>0</x:v>
      </x:c>
      <x:c r="O99" s="26"/>
      <x:c r="P99" s="22"/>
      <x:c r="Q99" s="28"/>
      <x:c r="R99" s="22"/>
      <x:c r="S99" s="22"/>
    </x:row>
    <x:row r="100">
      <x:c r="A100" s="22"/>
      <x:c r="B100" s="22"/>
      <x:c r="C100" s="22"/>
      <x:c r="D100" s="22"/>
      <x:c r="E100" s="22"/>
      <x:c r="F100" s="22"/>
      <x:c r="G100" s="28"/>
      <x:c r="H100" s="34" t="n">
        <x:f>SUMIFS(Investment_Transactions!$G:$G,Investment_Transactions!$C:$C,A100,Investment_Transactions!$D:$D,"CONTRIBUTION",Investment_Transactions!$H:$H,"POSTED")</x:f>
        <x:v>0</x:v>
      </x:c>
      <x:c r="I100" s="34" t="n">
        <x:f>SUMIFS(Investment_Transactions!$G:$G,Investment_Transactions!$C:$C,A100,Investment_Transactions!$D:$D,"WITHDRAWAL",Investment_Transactions!$H:$H,"POSTED")</x:f>
        <x:v>0</x:v>
      </x:c>
      <x:c r="J100" s="34" t="n">
        <x:f>SUMIFS(Investment_Transactions!$G:$G,Investment_Transactions!$C:$C,A100,Investment_Transactions!$D:$D,"INCOME",Investment_Transactions!$H:$H,"POSTED")</x:f>
        <x:v>0</x:v>
      </x:c>
      <x:c r="K100" s="24"/>
      <x:c r="L100" s="36" t="n">
        <x:f>K100+I100+J100-H100</x:f>
        <x:v>0</x:v>
      </x:c>
      <x:c r="M100" s="42" t="n">
        <x:f>IFERROR(L100/H100,0)</x:f>
        <x:v>0</x:v>
      </x:c>
      <x:c r="N100" s="42" t="n">
        <x:f>IFERROR(K100/SUM($K$5:$K$100),0)</x:f>
        <x:v>0</x:v>
      </x:c>
      <x:c r="O100" s="26"/>
      <x:c r="P100" s="22"/>
      <x:c r="Q100" s="28"/>
      <x:c r="R100" s="22"/>
      <x:c r="S100" s="22"/>
    </x:row>
  </x:sheetData>
  <x:mergeCells>
    <x:mergeCell ref="A1:W1"/>
    <x:mergeCell ref="A2:W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5" hidden="0" customWidth="1"/>
    <x:col min="4" max="4" width="16" hidden="0" customWidth="1"/>
    <x:col min="5" max="5" width="15" hidden="0" customWidth="1"/>
    <x:col min="6" max="6" width="15" hidden="0" customWidth="1"/>
    <x:col min="7" max="7" width="17" hidden="0" customWidth="1"/>
    <x:col min="8" max="8" width="12" hidden="0" customWidth="1"/>
    <x:col min="9" max="9" width="30" hidden="0" customWidth="1"/>
    <x:col min="10" max="10" width="16" hidden="0" customWidth="1"/>
  </x:cols>
  <x:sheetData>
    <x:row r="1" ht="26" customHeight="1">
      <x:c r="A1" s="3" t="str">
        <x:v>GIAO DỊCH ĐẦU TƯ</x:v>
      </x:c>
    </x:row>
    <x:row r="2" ht="28" customHeight="1">
      <x:c r="A2" s="8" t="str">
        <x:v>Ví dụ thu nhập +20 triệu: loại INCOME, chọn Investment_ID và tài khoản nhận tiền.</x:v>
      </x:c>
    </x:row>
    <x:row r="4" ht="30" customHeight="1">
      <x:c r="A4" s="16" t="str">
        <x:v>Inv_Tx_ID</x:v>
      </x:c>
      <x:c r="B4" s="16" t="str">
        <x:v>Ngày</x:v>
      </x:c>
      <x:c r="C4" s="16" t="str">
        <x:v>Investment_ID</x:v>
      </x:c>
      <x:c r="D4" s="16" t="str">
        <x:v>Loại</x:v>
      </x:c>
      <x:c r="E4" s="16" t="str">
        <x:v>Account_From</x:v>
      </x:c>
      <x:c r="F4" s="16" t="str">
        <x:v>Account_To</x:v>
      </x:c>
      <x:c r="G4" s="16" t="str">
        <x:v>Số tiền VND</x:v>
      </x:c>
      <x:c r="H4" s="16" t="str">
        <x:v>Trạng thái</x:v>
      </x:c>
      <x:c r="I4" s="16" t="str">
        <x:v>Mô tả</x:v>
      </x:c>
      <x:c r="J4" s="16" t="str">
        <x:v>Transaction_ID</x:v>
      </x:c>
    </x:row>
    <x:row r="5">
      <x:c r="A5" s="22"/>
      <x:c r="B5" s="28"/>
      <x:c r="C5" s="22"/>
      <x:c r="D5" s="22"/>
      <x:c r="E5" s="22"/>
      <x:c r="F5" s="22"/>
      <x:c r="G5" s="24"/>
      <x:c r="H5" s="22"/>
      <x:c r="I5" s="22"/>
      <x:c r="J5" s="22"/>
    </x:row>
    <x:row r="6">
      <x:c r="A6" s="22"/>
      <x:c r="B6" s="28"/>
      <x:c r="C6" s="22"/>
      <x:c r="D6" s="22"/>
      <x:c r="E6" s="22"/>
      <x:c r="F6" s="22"/>
      <x:c r="G6" s="24"/>
      <x:c r="H6" s="22"/>
      <x:c r="I6" s="22"/>
      <x:c r="J6" s="22"/>
    </x:row>
    <x:row r="7">
      <x:c r="A7" s="22"/>
      <x:c r="B7" s="28"/>
      <x:c r="C7" s="22"/>
      <x:c r="D7" s="22"/>
      <x:c r="E7" s="22"/>
      <x:c r="F7" s="22"/>
      <x:c r="G7" s="24"/>
      <x:c r="H7" s="22"/>
      <x:c r="I7" s="22"/>
      <x:c r="J7" s="22"/>
    </x:row>
    <x:row r="8">
      <x:c r="A8" s="22"/>
      <x:c r="B8" s="28"/>
      <x:c r="C8" s="22"/>
      <x:c r="D8" s="22"/>
      <x:c r="E8" s="22"/>
      <x:c r="F8" s="22"/>
      <x:c r="G8" s="24"/>
      <x:c r="H8" s="22"/>
      <x:c r="I8" s="22"/>
      <x:c r="J8" s="22"/>
    </x:row>
    <x:row r="9">
      <x:c r="A9" s="22"/>
      <x:c r="B9" s="28"/>
      <x:c r="C9" s="22"/>
      <x:c r="D9" s="22"/>
      <x:c r="E9" s="22"/>
      <x:c r="F9" s="22"/>
      <x:c r="G9" s="24"/>
      <x:c r="H9" s="22"/>
      <x:c r="I9" s="22"/>
      <x:c r="J9" s="22"/>
    </x:row>
    <x:row r="10">
      <x:c r="A10" s="22"/>
      <x:c r="B10" s="28"/>
      <x:c r="C10" s="22"/>
      <x:c r="D10" s="22"/>
      <x:c r="E10" s="22"/>
      <x:c r="F10" s="22"/>
      <x:c r="G10" s="24"/>
      <x:c r="H10" s="22"/>
      <x:c r="I10" s="22"/>
      <x:c r="J10" s="22"/>
    </x:row>
    <x:row r="11">
      <x:c r="A11" s="22"/>
      <x:c r="B11" s="28"/>
      <x:c r="C11" s="22"/>
      <x:c r="D11" s="22"/>
      <x:c r="E11" s="22"/>
      <x:c r="F11" s="22"/>
      <x:c r="G11" s="24"/>
      <x:c r="H11" s="22"/>
      <x:c r="I11" s="22"/>
      <x:c r="J11" s="22"/>
    </x:row>
    <x:row r="12">
      <x:c r="A12" s="22"/>
      <x:c r="B12" s="28"/>
      <x:c r="C12" s="22"/>
      <x:c r="D12" s="22"/>
      <x:c r="E12" s="22"/>
      <x:c r="F12" s="22"/>
      <x:c r="G12" s="24"/>
      <x:c r="H12" s="22"/>
      <x:c r="I12" s="22"/>
      <x:c r="J12" s="22"/>
    </x:row>
    <x:row r="13">
      <x:c r="A13" s="22"/>
      <x:c r="B13" s="28"/>
      <x:c r="C13" s="22"/>
      <x:c r="D13" s="22"/>
      <x:c r="E13" s="22"/>
      <x:c r="F13" s="22"/>
      <x:c r="G13" s="24"/>
      <x:c r="H13" s="22"/>
      <x:c r="I13" s="22"/>
      <x:c r="J13" s="22"/>
    </x:row>
    <x:row r="14">
      <x:c r="A14" s="22"/>
      <x:c r="B14" s="28"/>
      <x:c r="C14" s="22"/>
      <x:c r="D14" s="22"/>
      <x:c r="E14" s="22"/>
      <x:c r="F14" s="22"/>
      <x:c r="G14" s="24"/>
      <x:c r="H14" s="22"/>
      <x:c r="I14" s="22"/>
      <x:c r="J14" s="22"/>
    </x:row>
    <x:row r="15">
      <x:c r="A15" s="22"/>
      <x:c r="B15" s="28"/>
      <x:c r="C15" s="22"/>
      <x:c r="D15" s="22"/>
      <x:c r="E15" s="22"/>
      <x:c r="F15" s="22"/>
      <x:c r="G15" s="24"/>
      <x:c r="H15" s="22"/>
      <x:c r="I15" s="22"/>
      <x:c r="J15" s="22"/>
    </x:row>
    <x:row r="16">
      <x:c r="A16" s="22"/>
      <x:c r="B16" s="28"/>
      <x:c r="C16" s="22"/>
      <x:c r="D16" s="22"/>
      <x:c r="E16" s="22"/>
      <x:c r="F16" s="22"/>
      <x:c r="G16" s="24"/>
      <x:c r="H16" s="22"/>
      <x:c r="I16" s="22"/>
      <x:c r="J16" s="22"/>
    </x:row>
    <x:row r="17">
      <x:c r="A17" s="22"/>
      <x:c r="B17" s="28"/>
      <x:c r="C17" s="22"/>
      <x:c r="D17" s="22"/>
      <x:c r="E17" s="22"/>
      <x:c r="F17" s="22"/>
      <x:c r="G17" s="24"/>
      <x:c r="H17" s="22"/>
      <x:c r="I17" s="22"/>
      <x:c r="J17" s="22"/>
    </x:row>
    <x:row r="18">
      <x:c r="A18" s="22"/>
      <x:c r="B18" s="28"/>
      <x:c r="C18" s="22"/>
      <x:c r="D18" s="22"/>
      <x:c r="E18" s="22"/>
      <x:c r="F18" s="22"/>
      <x:c r="G18" s="24"/>
      <x:c r="H18" s="22"/>
      <x:c r="I18" s="22"/>
      <x:c r="J18" s="22"/>
    </x:row>
    <x:row r="19">
      <x:c r="A19" s="22"/>
      <x:c r="B19" s="28"/>
      <x:c r="C19" s="22"/>
      <x:c r="D19" s="22"/>
      <x:c r="E19" s="22"/>
      <x:c r="F19" s="22"/>
      <x:c r="G19" s="24"/>
      <x:c r="H19" s="22"/>
      <x:c r="I19" s="22"/>
      <x:c r="J19" s="22"/>
    </x:row>
    <x:row r="20">
      <x:c r="A20" s="22"/>
      <x:c r="B20" s="28"/>
      <x:c r="C20" s="22"/>
      <x:c r="D20" s="22"/>
      <x:c r="E20" s="22"/>
      <x:c r="F20" s="22"/>
      <x:c r="G20" s="24"/>
      <x:c r="H20" s="22"/>
      <x:c r="I20" s="22"/>
      <x:c r="J20" s="22"/>
    </x:row>
    <x:row r="21">
      <x:c r="A21" s="22"/>
      <x:c r="B21" s="28"/>
      <x:c r="C21" s="22"/>
      <x:c r="D21" s="22"/>
      <x:c r="E21" s="22"/>
      <x:c r="F21" s="22"/>
      <x:c r="G21" s="24"/>
      <x:c r="H21" s="22"/>
      <x:c r="I21" s="22"/>
      <x:c r="J21" s="22"/>
    </x:row>
    <x:row r="22">
      <x:c r="A22" s="22"/>
      <x:c r="B22" s="28"/>
      <x:c r="C22" s="22"/>
      <x:c r="D22" s="22"/>
      <x:c r="E22" s="22"/>
      <x:c r="F22" s="22"/>
      <x:c r="G22" s="24"/>
      <x:c r="H22" s="22"/>
      <x:c r="I22" s="22"/>
      <x:c r="J22" s="22"/>
    </x:row>
    <x:row r="23">
      <x:c r="A23" s="22"/>
      <x:c r="B23" s="28"/>
      <x:c r="C23" s="22"/>
      <x:c r="D23" s="22"/>
      <x:c r="E23" s="22"/>
      <x:c r="F23" s="22"/>
      <x:c r="G23" s="24"/>
      <x:c r="H23" s="22"/>
      <x:c r="I23" s="22"/>
      <x:c r="J23" s="22"/>
    </x:row>
    <x:row r="24">
      <x:c r="A24" s="22"/>
      <x:c r="B24" s="28"/>
      <x:c r="C24" s="22"/>
      <x:c r="D24" s="22"/>
      <x:c r="E24" s="22"/>
      <x:c r="F24" s="22"/>
      <x:c r="G24" s="24"/>
      <x:c r="H24" s="22"/>
      <x:c r="I24" s="22"/>
      <x:c r="J24" s="22"/>
    </x:row>
    <x:row r="25">
      <x:c r="A25" s="22"/>
      <x:c r="B25" s="28"/>
      <x:c r="C25" s="22"/>
      <x:c r="D25" s="22"/>
      <x:c r="E25" s="22"/>
      <x:c r="F25" s="22"/>
      <x:c r="G25" s="24"/>
      <x:c r="H25" s="22"/>
      <x:c r="I25" s="22"/>
      <x:c r="J25" s="22"/>
    </x:row>
    <x:row r="26">
      <x:c r="A26" s="22"/>
      <x:c r="B26" s="28"/>
      <x:c r="C26" s="22"/>
      <x:c r="D26" s="22"/>
      <x:c r="E26" s="22"/>
      <x:c r="F26" s="22"/>
      <x:c r="G26" s="24"/>
      <x:c r="H26" s="22"/>
      <x:c r="I26" s="22"/>
      <x:c r="J26" s="22"/>
    </x:row>
    <x:row r="27">
      <x:c r="A27" s="22"/>
      <x:c r="B27" s="28"/>
      <x:c r="C27" s="22"/>
      <x:c r="D27" s="22"/>
      <x:c r="E27" s="22"/>
      <x:c r="F27" s="22"/>
      <x:c r="G27" s="24"/>
      <x:c r="H27" s="22"/>
      <x:c r="I27" s="22"/>
      <x:c r="J27" s="22"/>
    </x:row>
    <x:row r="28">
      <x:c r="A28" s="22"/>
      <x:c r="B28" s="28"/>
      <x:c r="C28" s="22"/>
      <x:c r="D28" s="22"/>
      <x:c r="E28" s="22"/>
      <x:c r="F28" s="22"/>
      <x:c r="G28" s="24"/>
      <x:c r="H28" s="22"/>
      <x:c r="I28" s="22"/>
      <x:c r="J28" s="22"/>
    </x:row>
    <x:row r="29">
      <x:c r="A29" s="22"/>
      <x:c r="B29" s="28"/>
      <x:c r="C29" s="22"/>
      <x:c r="D29" s="22"/>
      <x:c r="E29" s="22"/>
      <x:c r="F29" s="22"/>
      <x:c r="G29" s="24"/>
      <x:c r="H29" s="22"/>
      <x:c r="I29" s="22"/>
      <x:c r="J29" s="22"/>
    </x:row>
    <x:row r="30">
      <x:c r="A30" s="22"/>
      <x:c r="B30" s="28"/>
      <x:c r="C30" s="22"/>
      <x:c r="D30" s="22"/>
      <x:c r="E30" s="22"/>
      <x:c r="F30" s="22"/>
      <x:c r="G30" s="24"/>
      <x:c r="H30" s="22"/>
      <x:c r="I30" s="22"/>
      <x:c r="J30" s="22"/>
    </x:row>
    <x:row r="31">
      <x:c r="A31" s="22"/>
      <x:c r="B31" s="28"/>
      <x:c r="C31" s="22"/>
      <x:c r="D31" s="22"/>
      <x:c r="E31" s="22"/>
      <x:c r="F31" s="22"/>
      <x:c r="G31" s="24"/>
      <x:c r="H31" s="22"/>
      <x:c r="I31" s="22"/>
      <x:c r="J31" s="22"/>
    </x:row>
    <x:row r="32">
      <x:c r="A32" s="22"/>
      <x:c r="B32" s="28"/>
      <x:c r="C32" s="22"/>
      <x:c r="D32" s="22"/>
      <x:c r="E32" s="22"/>
      <x:c r="F32" s="22"/>
      <x:c r="G32" s="24"/>
      <x:c r="H32" s="22"/>
      <x:c r="I32" s="22"/>
      <x:c r="J32" s="22"/>
    </x:row>
    <x:row r="33">
      <x:c r="A33" s="22"/>
      <x:c r="B33" s="28"/>
      <x:c r="C33" s="22"/>
      <x:c r="D33" s="22"/>
      <x:c r="E33" s="22"/>
      <x:c r="F33" s="22"/>
      <x:c r="G33" s="24"/>
      <x:c r="H33" s="22"/>
      <x:c r="I33" s="22"/>
      <x:c r="J33" s="22"/>
    </x:row>
    <x:row r="34">
      <x:c r="A34" s="22"/>
      <x:c r="B34" s="28"/>
      <x:c r="C34" s="22"/>
      <x:c r="D34" s="22"/>
      <x:c r="E34" s="22"/>
      <x:c r="F34" s="22"/>
      <x:c r="G34" s="24"/>
      <x:c r="H34" s="22"/>
      <x:c r="I34" s="22"/>
      <x:c r="J34" s="22"/>
    </x:row>
    <x:row r="35">
      <x:c r="A35" s="22"/>
      <x:c r="B35" s="28"/>
      <x:c r="C35" s="22"/>
      <x:c r="D35" s="22"/>
      <x:c r="E35" s="22"/>
      <x:c r="F35" s="22"/>
      <x:c r="G35" s="24"/>
      <x:c r="H35" s="22"/>
      <x:c r="I35" s="22"/>
      <x:c r="J35" s="22"/>
    </x:row>
    <x:row r="36">
      <x:c r="A36" s="22"/>
      <x:c r="B36" s="28"/>
      <x:c r="C36" s="22"/>
      <x:c r="D36" s="22"/>
      <x:c r="E36" s="22"/>
      <x:c r="F36" s="22"/>
      <x:c r="G36" s="24"/>
      <x:c r="H36" s="22"/>
      <x:c r="I36" s="22"/>
      <x:c r="J36" s="22"/>
    </x:row>
    <x:row r="37">
      <x:c r="A37" s="22"/>
      <x:c r="B37" s="28"/>
      <x:c r="C37" s="22"/>
      <x:c r="D37" s="22"/>
      <x:c r="E37" s="22"/>
      <x:c r="F37" s="22"/>
      <x:c r="G37" s="24"/>
      <x:c r="H37" s="22"/>
      <x:c r="I37" s="22"/>
      <x:c r="J37" s="22"/>
    </x:row>
    <x:row r="38">
      <x:c r="A38" s="22"/>
      <x:c r="B38" s="28"/>
      <x:c r="C38" s="22"/>
      <x:c r="D38" s="22"/>
      <x:c r="E38" s="22"/>
      <x:c r="F38" s="22"/>
      <x:c r="G38" s="24"/>
      <x:c r="H38" s="22"/>
      <x:c r="I38" s="22"/>
      <x:c r="J38" s="22"/>
    </x:row>
    <x:row r="39">
      <x:c r="A39" s="22"/>
      <x:c r="B39" s="28"/>
      <x:c r="C39" s="22"/>
      <x:c r="D39" s="22"/>
      <x:c r="E39" s="22"/>
      <x:c r="F39" s="22"/>
      <x:c r="G39" s="24"/>
      <x:c r="H39" s="22"/>
      <x:c r="I39" s="22"/>
      <x:c r="J39" s="22"/>
    </x:row>
    <x:row r="40">
      <x:c r="A40" s="22"/>
      <x:c r="B40" s="28"/>
      <x:c r="C40" s="22"/>
      <x:c r="D40" s="22"/>
      <x:c r="E40" s="22"/>
      <x:c r="F40" s="22"/>
      <x:c r="G40" s="24"/>
      <x:c r="H40" s="22"/>
      <x:c r="I40" s="22"/>
      <x:c r="J40" s="22"/>
    </x:row>
    <x:row r="41">
      <x:c r="A41" s="22"/>
      <x:c r="B41" s="28"/>
      <x:c r="C41" s="22"/>
      <x:c r="D41" s="22"/>
      <x:c r="E41" s="22"/>
      <x:c r="F41" s="22"/>
      <x:c r="G41" s="24"/>
      <x:c r="H41" s="22"/>
      <x:c r="I41" s="22"/>
      <x:c r="J41" s="22"/>
    </x:row>
    <x:row r="42">
      <x:c r="A42" s="22"/>
      <x:c r="B42" s="28"/>
      <x:c r="C42" s="22"/>
      <x:c r="D42" s="22"/>
      <x:c r="E42" s="22"/>
      <x:c r="F42" s="22"/>
      <x:c r="G42" s="24"/>
      <x:c r="H42" s="22"/>
      <x:c r="I42" s="22"/>
      <x:c r="J42" s="22"/>
    </x:row>
    <x:row r="43">
      <x:c r="A43" s="22"/>
      <x:c r="B43" s="28"/>
      <x:c r="C43" s="22"/>
      <x:c r="D43" s="22"/>
      <x:c r="E43" s="22"/>
      <x:c r="F43" s="22"/>
      <x:c r="G43" s="24"/>
      <x:c r="H43" s="22"/>
      <x:c r="I43" s="22"/>
      <x:c r="J43" s="22"/>
    </x:row>
    <x:row r="44">
      <x:c r="A44" s="22"/>
      <x:c r="B44" s="28"/>
      <x:c r="C44" s="22"/>
      <x:c r="D44" s="22"/>
      <x:c r="E44" s="22"/>
      <x:c r="F44" s="22"/>
      <x:c r="G44" s="24"/>
      <x:c r="H44" s="22"/>
      <x:c r="I44" s="22"/>
      <x:c r="J44" s="22"/>
    </x:row>
    <x:row r="45">
      <x:c r="A45" s="22"/>
      <x:c r="B45" s="28"/>
      <x:c r="C45" s="22"/>
      <x:c r="D45" s="22"/>
      <x:c r="E45" s="22"/>
      <x:c r="F45" s="22"/>
      <x:c r="G45" s="24"/>
      <x:c r="H45" s="22"/>
      <x:c r="I45" s="22"/>
      <x:c r="J45" s="22"/>
    </x:row>
    <x:row r="46">
      <x:c r="A46" s="22"/>
      <x:c r="B46" s="28"/>
      <x:c r="C46" s="22"/>
      <x:c r="D46" s="22"/>
      <x:c r="E46" s="22"/>
      <x:c r="F46" s="22"/>
      <x:c r="G46" s="24"/>
      <x:c r="H46" s="22"/>
      <x:c r="I46" s="22"/>
      <x:c r="J46" s="22"/>
    </x:row>
    <x:row r="47">
      <x:c r="A47" s="22"/>
      <x:c r="B47" s="28"/>
      <x:c r="C47" s="22"/>
      <x:c r="D47" s="22"/>
      <x:c r="E47" s="22"/>
      <x:c r="F47" s="22"/>
      <x:c r="G47" s="24"/>
      <x:c r="H47" s="22"/>
      <x:c r="I47" s="22"/>
      <x:c r="J47" s="22"/>
    </x:row>
    <x:row r="48">
      <x:c r="A48" s="22"/>
      <x:c r="B48" s="28"/>
      <x:c r="C48" s="22"/>
      <x:c r="D48" s="22"/>
      <x:c r="E48" s="22"/>
      <x:c r="F48" s="22"/>
      <x:c r="G48" s="24"/>
      <x:c r="H48" s="22"/>
      <x:c r="I48" s="22"/>
      <x:c r="J48" s="22"/>
    </x:row>
    <x:row r="49">
      <x:c r="A49" s="22"/>
      <x:c r="B49" s="28"/>
      <x:c r="C49" s="22"/>
      <x:c r="D49" s="22"/>
      <x:c r="E49" s="22"/>
      <x:c r="F49" s="22"/>
      <x:c r="G49" s="24"/>
      <x:c r="H49" s="22"/>
      <x:c r="I49" s="22"/>
      <x:c r="J49" s="22"/>
    </x:row>
    <x:row r="50">
      <x:c r="A50" s="22"/>
      <x:c r="B50" s="28"/>
      <x:c r="C50" s="22"/>
      <x:c r="D50" s="22"/>
      <x:c r="E50" s="22"/>
      <x:c r="F50" s="22"/>
      <x:c r="G50" s="24"/>
      <x:c r="H50" s="22"/>
      <x:c r="I50" s="22"/>
      <x:c r="J50" s="22"/>
    </x:row>
    <x:row r="51">
      <x:c r="A51" s="22"/>
      <x:c r="B51" s="28"/>
      <x:c r="C51" s="22"/>
      <x:c r="D51" s="22"/>
      <x:c r="E51" s="22"/>
      <x:c r="F51" s="22"/>
      <x:c r="G51" s="24"/>
      <x:c r="H51" s="22"/>
      <x:c r="I51" s="22"/>
      <x:c r="J51" s="22"/>
    </x:row>
    <x:row r="52">
      <x:c r="A52" s="22"/>
      <x:c r="B52" s="28"/>
      <x:c r="C52" s="22"/>
      <x:c r="D52" s="22"/>
      <x:c r="E52" s="22"/>
      <x:c r="F52" s="22"/>
      <x:c r="G52" s="24"/>
      <x:c r="H52" s="22"/>
      <x:c r="I52" s="22"/>
      <x:c r="J52" s="22"/>
    </x:row>
    <x:row r="53">
      <x:c r="A53" s="22"/>
      <x:c r="B53" s="28"/>
      <x:c r="C53" s="22"/>
      <x:c r="D53" s="22"/>
      <x:c r="E53" s="22"/>
      <x:c r="F53" s="22"/>
      <x:c r="G53" s="24"/>
      <x:c r="H53" s="22"/>
      <x:c r="I53" s="22"/>
      <x:c r="J53" s="22"/>
    </x:row>
    <x:row r="54">
      <x:c r="A54" s="22"/>
      <x:c r="B54" s="28"/>
      <x:c r="C54" s="22"/>
      <x:c r="D54" s="22"/>
      <x:c r="E54" s="22"/>
      <x:c r="F54" s="22"/>
      <x:c r="G54" s="24"/>
      <x:c r="H54" s="22"/>
      <x:c r="I54" s="22"/>
      <x:c r="J54" s="22"/>
    </x:row>
    <x:row r="55">
      <x:c r="A55" s="22"/>
      <x:c r="B55" s="28"/>
      <x:c r="C55" s="22"/>
      <x:c r="D55" s="22"/>
      <x:c r="E55" s="22"/>
      <x:c r="F55" s="22"/>
      <x:c r="G55" s="24"/>
      <x:c r="H55" s="22"/>
      <x:c r="I55" s="22"/>
      <x:c r="J55" s="22"/>
    </x:row>
    <x:row r="56">
      <x:c r="A56" s="22"/>
      <x:c r="B56" s="28"/>
      <x:c r="C56" s="22"/>
      <x:c r="D56" s="22"/>
      <x:c r="E56" s="22"/>
      <x:c r="F56" s="22"/>
      <x:c r="G56" s="24"/>
      <x:c r="H56" s="22"/>
      <x:c r="I56" s="22"/>
      <x:c r="J56" s="22"/>
    </x:row>
    <x:row r="57">
      <x:c r="A57" s="22"/>
      <x:c r="B57" s="28"/>
      <x:c r="C57" s="22"/>
      <x:c r="D57" s="22"/>
      <x:c r="E57" s="22"/>
      <x:c r="F57" s="22"/>
      <x:c r="G57" s="24"/>
      <x:c r="H57" s="22"/>
      <x:c r="I57" s="22"/>
      <x:c r="J57" s="22"/>
    </x:row>
    <x:row r="58">
      <x:c r="A58" s="22"/>
      <x:c r="B58" s="28"/>
      <x:c r="C58" s="22"/>
      <x:c r="D58" s="22"/>
      <x:c r="E58" s="22"/>
      <x:c r="F58" s="22"/>
      <x:c r="G58" s="24"/>
      <x:c r="H58" s="22"/>
      <x:c r="I58" s="22"/>
      <x:c r="J58" s="22"/>
    </x:row>
    <x:row r="59">
      <x:c r="A59" s="22"/>
      <x:c r="B59" s="28"/>
      <x:c r="C59" s="22"/>
      <x:c r="D59" s="22"/>
      <x:c r="E59" s="22"/>
      <x:c r="F59" s="22"/>
      <x:c r="G59" s="24"/>
      <x:c r="H59" s="22"/>
      <x:c r="I59" s="22"/>
      <x:c r="J59" s="22"/>
    </x:row>
    <x:row r="60">
      <x:c r="A60" s="22"/>
      <x:c r="B60" s="28"/>
      <x:c r="C60" s="22"/>
      <x:c r="D60" s="22"/>
      <x:c r="E60" s="22"/>
      <x:c r="F60" s="22"/>
      <x:c r="G60" s="24"/>
      <x:c r="H60" s="22"/>
      <x:c r="I60" s="22"/>
      <x:c r="J60" s="22"/>
    </x:row>
    <x:row r="61">
      <x:c r="A61" s="22"/>
      <x:c r="B61" s="28"/>
      <x:c r="C61" s="22"/>
      <x:c r="D61" s="22"/>
      <x:c r="E61" s="22"/>
      <x:c r="F61" s="22"/>
      <x:c r="G61" s="24"/>
      <x:c r="H61" s="22"/>
      <x:c r="I61" s="22"/>
      <x:c r="J61" s="22"/>
    </x:row>
    <x:row r="62">
      <x:c r="A62" s="22"/>
      <x:c r="B62" s="28"/>
      <x:c r="C62" s="22"/>
      <x:c r="D62" s="22"/>
      <x:c r="E62" s="22"/>
      <x:c r="F62" s="22"/>
      <x:c r="G62" s="24"/>
      <x:c r="H62" s="22"/>
      <x:c r="I62" s="22"/>
      <x:c r="J62" s="22"/>
    </x:row>
    <x:row r="63">
      <x:c r="A63" s="22"/>
      <x:c r="B63" s="28"/>
      <x:c r="C63" s="22"/>
      <x:c r="D63" s="22"/>
      <x:c r="E63" s="22"/>
      <x:c r="F63" s="22"/>
      <x:c r="G63" s="24"/>
      <x:c r="H63" s="22"/>
      <x:c r="I63" s="22"/>
      <x:c r="J63" s="22"/>
    </x:row>
    <x:row r="64">
      <x:c r="A64" s="22"/>
      <x:c r="B64" s="28"/>
      <x:c r="C64" s="22"/>
      <x:c r="D64" s="22"/>
      <x:c r="E64" s="22"/>
      <x:c r="F64" s="22"/>
      <x:c r="G64" s="24"/>
      <x:c r="H64" s="22"/>
      <x:c r="I64" s="22"/>
      <x:c r="J64" s="22"/>
    </x:row>
    <x:row r="65">
      <x:c r="A65" s="22"/>
      <x:c r="B65" s="28"/>
      <x:c r="C65" s="22"/>
      <x:c r="D65" s="22"/>
      <x:c r="E65" s="22"/>
      <x:c r="F65" s="22"/>
      <x:c r="G65" s="24"/>
      <x:c r="H65" s="22"/>
      <x:c r="I65" s="22"/>
      <x:c r="J65" s="22"/>
    </x:row>
    <x:row r="66">
      <x:c r="A66" s="22"/>
      <x:c r="B66" s="28"/>
      <x:c r="C66" s="22"/>
      <x:c r="D66" s="22"/>
      <x:c r="E66" s="22"/>
      <x:c r="F66" s="22"/>
      <x:c r="G66" s="24"/>
      <x:c r="H66" s="22"/>
      <x:c r="I66" s="22"/>
      <x:c r="J66" s="22"/>
    </x:row>
    <x:row r="67">
      <x:c r="A67" s="22"/>
      <x:c r="B67" s="28"/>
      <x:c r="C67" s="22"/>
      <x:c r="D67" s="22"/>
      <x:c r="E67" s="22"/>
      <x:c r="F67" s="22"/>
      <x:c r="G67" s="24"/>
      <x:c r="H67" s="22"/>
      <x:c r="I67" s="22"/>
      <x:c r="J67" s="22"/>
    </x:row>
    <x:row r="68">
      <x:c r="A68" s="22"/>
      <x:c r="B68" s="28"/>
      <x:c r="C68" s="22"/>
      <x:c r="D68" s="22"/>
      <x:c r="E68" s="22"/>
      <x:c r="F68" s="22"/>
      <x:c r="G68" s="24"/>
      <x:c r="H68" s="22"/>
      <x:c r="I68" s="22"/>
      <x:c r="J68" s="22"/>
    </x:row>
    <x:row r="69">
      <x:c r="A69" s="22"/>
      <x:c r="B69" s="28"/>
      <x:c r="C69" s="22"/>
      <x:c r="D69" s="22"/>
      <x:c r="E69" s="22"/>
      <x:c r="F69" s="22"/>
      <x:c r="G69" s="24"/>
      <x:c r="H69" s="22"/>
      <x:c r="I69" s="22"/>
      <x:c r="J69" s="22"/>
    </x:row>
    <x:row r="70">
      <x:c r="A70" s="22"/>
      <x:c r="B70" s="28"/>
      <x:c r="C70" s="22"/>
      <x:c r="D70" s="22"/>
      <x:c r="E70" s="22"/>
      <x:c r="F70" s="22"/>
      <x:c r="G70" s="24"/>
      <x:c r="H70" s="22"/>
      <x:c r="I70" s="22"/>
      <x:c r="J70" s="22"/>
    </x:row>
    <x:row r="71">
      <x:c r="A71" s="22"/>
      <x:c r="B71" s="28"/>
      <x:c r="C71" s="22"/>
      <x:c r="D71" s="22"/>
      <x:c r="E71" s="22"/>
      <x:c r="F71" s="22"/>
      <x:c r="G71" s="24"/>
      <x:c r="H71" s="22"/>
      <x:c r="I71" s="22"/>
      <x:c r="J71" s="22"/>
    </x:row>
    <x:row r="72">
      <x:c r="A72" s="22"/>
      <x:c r="B72" s="28"/>
      <x:c r="C72" s="22"/>
      <x:c r="D72" s="22"/>
      <x:c r="E72" s="22"/>
      <x:c r="F72" s="22"/>
      <x:c r="G72" s="24"/>
      <x:c r="H72" s="22"/>
      <x:c r="I72" s="22"/>
      <x:c r="J72" s="22"/>
    </x:row>
    <x:row r="73">
      <x:c r="A73" s="22"/>
      <x:c r="B73" s="28"/>
      <x:c r="C73" s="22"/>
      <x:c r="D73" s="22"/>
      <x:c r="E73" s="22"/>
      <x:c r="F73" s="22"/>
      <x:c r="G73" s="24"/>
      <x:c r="H73" s="22"/>
      <x:c r="I73" s="22"/>
      <x:c r="J73" s="22"/>
    </x:row>
    <x:row r="74">
      <x:c r="A74" s="22"/>
      <x:c r="B74" s="28"/>
      <x:c r="C74" s="22"/>
      <x:c r="D74" s="22"/>
      <x:c r="E74" s="22"/>
      <x:c r="F74" s="22"/>
      <x:c r="G74" s="24"/>
      <x:c r="H74" s="22"/>
      <x:c r="I74" s="22"/>
      <x:c r="J74" s="22"/>
    </x:row>
    <x:row r="75">
      <x:c r="A75" s="22"/>
      <x:c r="B75" s="28"/>
      <x:c r="C75" s="22"/>
      <x:c r="D75" s="22"/>
      <x:c r="E75" s="22"/>
      <x:c r="F75" s="22"/>
      <x:c r="G75" s="24"/>
      <x:c r="H75" s="22"/>
      <x:c r="I75" s="22"/>
      <x:c r="J75" s="22"/>
    </x:row>
    <x:row r="76">
      <x:c r="A76" s="22"/>
      <x:c r="B76" s="28"/>
      <x:c r="C76" s="22"/>
      <x:c r="D76" s="22"/>
      <x:c r="E76" s="22"/>
      <x:c r="F76" s="22"/>
      <x:c r="G76" s="24"/>
      <x:c r="H76" s="22"/>
      <x:c r="I76" s="22"/>
      <x:c r="J76" s="22"/>
    </x:row>
    <x:row r="77">
      <x:c r="A77" s="22"/>
      <x:c r="B77" s="28"/>
      <x:c r="C77" s="22"/>
      <x:c r="D77" s="22"/>
      <x:c r="E77" s="22"/>
      <x:c r="F77" s="22"/>
      <x:c r="G77" s="24"/>
      <x:c r="H77" s="22"/>
      <x:c r="I77" s="22"/>
      <x:c r="J77" s="22"/>
    </x:row>
    <x:row r="78">
      <x:c r="A78" s="22"/>
      <x:c r="B78" s="28"/>
      <x:c r="C78" s="22"/>
      <x:c r="D78" s="22"/>
      <x:c r="E78" s="22"/>
      <x:c r="F78" s="22"/>
      <x:c r="G78" s="24"/>
      <x:c r="H78" s="22"/>
      <x:c r="I78" s="22"/>
      <x:c r="J78" s="22"/>
    </x:row>
    <x:row r="79">
      <x:c r="A79" s="22"/>
      <x:c r="B79" s="28"/>
      <x:c r="C79" s="22"/>
      <x:c r="D79" s="22"/>
      <x:c r="E79" s="22"/>
      <x:c r="F79" s="22"/>
      <x:c r="G79" s="24"/>
      <x:c r="H79" s="22"/>
      <x:c r="I79" s="22"/>
      <x:c r="J79" s="22"/>
    </x:row>
    <x:row r="80">
      <x:c r="A80" s="22"/>
      <x:c r="B80" s="28"/>
      <x:c r="C80" s="22"/>
      <x:c r="D80" s="22"/>
      <x:c r="E80" s="22"/>
      <x:c r="F80" s="22"/>
      <x:c r="G80" s="24"/>
      <x:c r="H80" s="22"/>
      <x:c r="I80" s="22"/>
      <x:c r="J80" s="22"/>
    </x:row>
    <x:row r="81">
      <x:c r="A81" s="22"/>
      <x:c r="B81" s="28"/>
      <x:c r="C81" s="22"/>
      <x:c r="D81" s="22"/>
      <x:c r="E81" s="22"/>
      <x:c r="F81" s="22"/>
      <x:c r="G81" s="24"/>
      <x:c r="H81" s="22"/>
      <x:c r="I81" s="22"/>
      <x:c r="J81" s="22"/>
    </x:row>
    <x:row r="82">
      <x:c r="A82" s="22"/>
      <x:c r="B82" s="28"/>
      <x:c r="C82" s="22"/>
      <x:c r="D82" s="22"/>
      <x:c r="E82" s="22"/>
      <x:c r="F82" s="22"/>
      <x:c r="G82" s="24"/>
      <x:c r="H82" s="22"/>
      <x:c r="I82" s="22"/>
      <x:c r="J82" s="22"/>
    </x:row>
    <x:row r="83">
      <x:c r="A83" s="22"/>
      <x:c r="B83" s="28"/>
      <x:c r="C83" s="22"/>
      <x:c r="D83" s="22"/>
      <x:c r="E83" s="22"/>
      <x:c r="F83" s="22"/>
      <x:c r="G83" s="24"/>
      <x:c r="H83" s="22"/>
      <x:c r="I83" s="22"/>
      <x:c r="J83" s="22"/>
    </x:row>
    <x:row r="84">
      <x:c r="A84" s="22"/>
      <x:c r="B84" s="28"/>
      <x:c r="C84" s="22"/>
      <x:c r="D84" s="22"/>
      <x:c r="E84" s="22"/>
      <x:c r="F84" s="22"/>
      <x:c r="G84" s="24"/>
      <x:c r="H84" s="22"/>
      <x:c r="I84" s="22"/>
      <x:c r="J84" s="22"/>
    </x:row>
    <x:row r="85">
      <x:c r="A85" s="22"/>
      <x:c r="B85" s="28"/>
      <x:c r="C85" s="22"/>
      <x:c r="D85" s="22"/>
      <x:c r="E85" s="22"/>
      <x:c r="F85" s="22"/>
      <x:c r="G85" s="24"/>
      <x:c r="H85" s="22"/>
      <x:c r="I85" s="22"/>
      <x:c r="J85" s="22"/>
    </x:row>
    <x:row r="86">
      <x:c r="A86" s="22"/>
      <x:c r="B86" s="28"/>
      <x:c r="C86" s="22"/>
      <x:c r="D86" s="22"/>
      <x:c r="E86" s="22"/>
      <x:c r="F86" s="22"/>
      <x:c r="G86" s="24"/>
      <x:c r="H86" s="22"/>
      <x:c r="I86" s="22"/>
      <x:c r="J86" s="22"/>
    </x:row>
    <x:row r="87">
      <x:c r="A87" s="22"/>
      <x:c r="B87" s="28"/>
      <x:c r="C87" s="22"/>
      <x:c r="D87" s="22"/>
      <x:c r="E87" s="22"/>
      <x:c r="F87" s="22"/>
      <x:c r="G87" s="24"/>
      <x:c r="H87" s="22"/>
      <x:c r="I87" s="22"/>
      <x:c r="J87" s="22"/>
    </x:row>
    <x:row r="88">
      <x:c r="A88" s="22"/>
      <x:c r="B88" s="28"/>
      <x:c r="C88" s="22"/>
      <x:c r="D88" s="22"/>
      <x:c r="E88" s="22"/>
      <x:c r="F88" s="22"/>
      <x:c r="G88" s="24"/>
      <x:c r="H88" s="22"/>
      <x:c r="I88" s="22"/>
      <x:c r="J88" s="22"/>
    </x:row>
    <x:row r="89">
      <x:c r="A89" s="22"/>
      <x:c r="B89" s="28"/>
      <x:c r="C89" s="22"/>
      <x:c r="D89" s="22"/>
      <x:c r="E89" s="22"/>
      <x:c r="F89" s="22"/>
      <x:c r="G89" s="24"/>
      <x:c r="H89" s="22"/>
      <x:c r="I89" s="22"/>
      <x:c r="J89" s="22"/>
    </x:row>
    <x:row r="90">
      <x:c r="A90" s="22"/>
      <x:c r="B90" s="28"/>
      <x:c r="C90" s="22"/>
      <x:c r="D90" s="22"/>
      <x:c r="E90" s="22"/>
      <x:c r="F90" s="22"/>
      <x:c r="G90" s="24"/>
      <x:c r="H90" s="22"/>
      <x:c r="I90" s="22"/>
      <x:c r="J90" s="22"/>
    </x:row>
    <x:row r="91">
      <x:c r="A91" s="22"/>
      <x:c r="B91" s="28"/>
      <x:c r="C91" s="22"/>
      <x:c r="D91" s="22"/>
      <x:c r="E91" s="22"/>
      <x:c r="F91" s="22"/>
      <x:c r="G91" s="24"/>
      <x:c r="H91" s="22"/>
      <x:c r="I91" s="22"/>
      <x:c r="J91" s="22"/>
    </x:row>
    <x:row r="92">
      <x:c r="A92" s="22"/>
      <x:c r="B92" s="28"/>
      <x:c r="C92" s="22"/>
      <x:c r="D92" s="22"/>
      <x:c r="E92" s="22"/>
      <x:c r="F92" s="22"/>
      <x:c r="G92" s="24"/>
      <x:c r="H92" s="22"/>
      <x:c r="I92" s="22"/>
      <x:c r="J92" s="22"/>
    </x:row>
    <x:row r="93">
      <x:c r="A93" s="22"/>
      <x:c r="B93" s="28"/>
      <x:c r="C93" s="22"/>
      <x:c r="D93" s="22"/>
      <x:c r="E93" s="22"/>
      <x:c r="F93" s="22"/>
      <x:c r="G93" s="24"/>
      <x:c r="H93" s="22"/>
      <x:c r="I93" s="22"/>
      <x:c r="J93" s="22"/>
    </x:row>
    <x:row r="94">
      <x:c r="A94" s="22"/>
      <x:c r="B94" s="28"/>
      <x:c r="C94" s="22"/>
      <x:c r="D94" s="22"/>
      <x:c r="E94" s="22"/>
      <x:c r="F94" s="22"/>
      <x:c r="G94" s="24"/>
      <x:c r="H94" s="22"/>
      <x:c r="I94" s="22"/>
      <x:c r="J94" s="22"/>
    </x:row>
    <x:row r="95">
      <x:c r="A95" s="22"/>
      <x:c r="B95" s="28"/>
      <x:c r="C95" s="22"/>
      <x:c r="D95" s="22"/>
      <x:c r="E95" s="22"/>
      <x:c r="F95" s="22"/>
      <x:c r="G95" s="24"/>
      <x:c r="H95" s="22"/>
      <x:c r="I95" s="22"/>
      <x:c r="J95" s="22"/>
    </x:row>
    <x:row r="96">
      <x:c r="A96" s="22"/>
      <x:c r="B96" s="28"/>
      <x:c r="C96" s="22"/>
      <x:c r="D96" s="22"/>
      <x:c r="E96" s="22"/>
      <x:c r="F96" s="22"/>
      <x:c r="G96" s="24"/>
      <x:c r="H96" s="22"/>
      <x:c r="I96" s="22"/>
      <x:c r="J96" s="22"/>
    </x:row>
    <x:row r="97">
      <x:c r="A97" s="22"/>
      <x:c r="B97" s="28"/>
      <x:c r="C97" s="22"/>
      <x:c r="D97" s="22"/>
      <x:c r="E97" s="22"/>
      <x:c r="F97" s="22"/>
      <x:c r="G97" s="24"/>
      <x:c r="H97" s="22"/>
      <x:c r="I97" s="22"/>
      <x:c r="J97" s="22"/>
    </x:row>
    <x:row r="98">
      <x:c r="A98" s="22"/>
      <x:c r="B98" s="28"/>
      <x:c r="C98" s="22"/>
      <x:c r="D98" s="22"/>
      <x:c r="E98" s="22"/>
      <x:c r="F98" s="22"/>
      <x:c r="G98" s="24"/>
      <x:c r="H98" s="22"/>
      <x:c r="I98" s="22"/>
      <x:c r="J98" s="22"/>
    </x:row>
    <x:row r="99">
      <x:c r="A99" s="22"/>
      <x:c r="B99" s="28"/>
      <x:c r="C99" s="22"/>
      <x:c r="D99" s="22"/>
      <x:c r="E99" s="22"/>
      <x:c r="F99" s="22"/>
      <x:c r="G99" s="24"/>
      <x:c r="H99" s="22"/>
      <x:c r="I99" s="22"/>
      <x:c r="J99" s="22"/>
    </x:row>
    <x:row r="100">
      <x:c r="A100" s="22"/>
      <x:c r="B100" s="28"/>
      <x:c r="C100" s="22"/>
      <x:c r="D100" s="22"/>
      <x:c r="E100" s="22"/>
      <x:c r="F100" s="22"/>
      <x:c r="G100" s="24"/>
      <x:c r="H100" s="22"/>
      <x:c r="I100" s="22"/>
      <x:c r="J100" s="22"/>
    </x:row>
    <x:row r="101">
      <x:c r="A101" s="22"/>
      <x:c r="B101" s="28"/>
      <x:c r="C101" s="22"/>
      <x:c r="D101" s="22"/>
      <x:c r="E101" s="22"/>
      <x:c r="F101" s="22"/>
      <x:c r="G101" s="24"/>
      <x:c r="H101" s="22"/>
      <x:c r="I101" s="22"/>
      <x:c r="J101" s="22"/>
    </x:row>
    <x:row r="102">
      <x:c r="A102" s="22"/>
      <x:c r="B102" s="28"/>
      <x:c r="C102" s="22"/>
      <x:c r="D102" s="22"/>
      <x:c r="E102" s="22"/>
      <x:c r="F102" s="22"/>
      <x:c r="G102" s="24"/>
      <x:c r="H102" s="22"/>
      <x:c r="I102" s="22"/>
      <x:c r="J102" s="22"/>
    </x:row>
    <x:row r="103">
      <x:c r="A103" s="22"/>
      <x:c r="B103" s="28"/>
      <x:c r="C103" s="22"/>
      <x:c r="D103" s="22"/>
      <x:c r="E103" s="22"/>
      <x:c r="F103" s="22"/>
      <x:c r="G103" s="24"/>
      <x:c r="H103" s="22"/>
      <x:c r="I103" s="22"/>
      <x:c r="J103" s="22"/>
    </x:row>
    <x:row r="104">
      <x:c r="A104" s="22"/>
      <x:c r="B104" s="28"/>
      <x:c r="C104" s="22"/>
      <x:c r="D104" s="22"/>
      <x:c r="E104" s="22"/>
      <x:c r="F104" s="22"/>
      <x:c r="G104" s="24"/>
      <x:c r="H104" s="22"/>
      <x:c r="I104" s="22"/>
      <x:c r="J104" s="22"/>
    </x:row>
    <x:row r="105">
      <x:c r="A105" s="22"/>
      <x:c r="B105" s="28"/>
      <x:c r="C105" s="22"/>
      <x:c r="D105" s="22"/>
      <x:c r="E105" s="22"/>
      <x:c r="F105" s="22"/>
      <x:c r="G105" s="24"/>
      <x:c r="H105" s="22"/>
      <x:c r="I105" s="22"/>
      <x:c r="J105" s="22"/>
    </x:row>
    <x:row r="106">
      <x:c r="A106" s="22"/>
      <x:c r="B106" s="28"/>
      <x:c r="C106" s="22"/>
      <x:c r="D106" s="22"/>
      <x:c r="E106" s="22"/>
      <x:c r="F106" s="22"/>
      <x:c r="G106" s="24"/>
      <x:c r="H106" s="22"/>
      <x:c r="I106" s="22"/>
      <x:c r="J106" s="22"/>
    </x:row>
    <x:row r="107">
      <x:c r="A107" s="22"/>
      <x:c r="B107" s="28"/>
      <x:c r="C107" s="22"/>
      <x:c r="D107" s="22"/>
      <x:c r="E107" s="22"/>
      <x:c r="F107" s="22"/>
      <x:c r="G107" s="24"/>
      <x:c r="H107" s="22"/>
      <x:c r="I107" s="22"/>
      <x:c r="J107" s="22"/>
    </x:row>
    <x:row r="108">
      <x:c r="A108" s="22"/>
      <x:c r="B108" s="28"/>
      <x:c r="C108" s="22"/>
      <x:c r="D108" s="22"/>
      <x:c r="E108" s="22"/>
      <x:c r="F108" s="22"/>
      <x:c r="G108" s="24"/>
      <x:c r="H108" s="22"/>
      <x:c r="I108" s="22"/>
      <x:c r="J108" s="22"/>
    </x:row>
    <x:row r="109">
      <x:c r="A109" s="22"/>
      <x:c r="B109" s="28"/>
      <x:c r="C109" s="22"/>
      <x:c r="D109" s="22"/>
      <x:c r="E109" s="22"/>
      <x:c r="F109" s="22"/>
      <x:c r="G109" s="24"/>
      <x:c r="H109" s="22"/>
      <x:c r="I109" s="22"/>
      <x:c r="J109" s="22"/>
    </x:row>
    <x:row r="110">
      <x:c r="A110" s="22"/>
      <x:c r="B110" s="28"/>
      <x:c r="C110" s="22"/>
      <x:c r="D110" s="22"/>
      <x:c r="E110" s="22"/>
      <x:c r="F110" s="22"/>
      <x:c r="G110" s="24"/>
      <x:c r="H110" s="22"/>
      <x:c r="I110" s="22"/>
      <x:c r="J110" s="22"/>
    </x:row>
    <x:row r="111">
      <x:c r="A111" s="22"/>
      <x:c r="B111" s="28"/>
      <x:c r="C111" s="22"/>
      <x:c r="D111" s="22"/>
      <x:c r="E111" s="22"/>
      <x:c r="F111" s="22"/>
      <x:c r="G111" s="24"/>
      <x:c r="H111" s="22"/>
      <x:c r="I111" s="22"/>
      <x:c r="J111" s="22"/>
    </x:row>
    <x:row r="112">
      <x:c r="A112" s="22"/>
      <x:c r="B112" s="28"/>
      <x:c r="C112" s="22"/>
      <x:c r="D112" s="22"/>
      <x:c r="E112" s="22"/>
      <x:c r="F112" s="22"/>
      <x:c r="G112" s="24"/>
      <x:c r="H112" s="22"/>
      <x:c r="I112" s="22"/>
      <x:c r="J112" s="22"/>
    </x:row>
    <x:row r="113">
      <x:c r="A113" s="22"/>
      <x:c r="B113" s="28"/>
      <x:c r="C113" s="22"/>
      <x:c r="D113" s="22"/>
      <x:c r="E113" s="22"/>
      <x:c r="F113" s="22"/>
      <x:c r="G113" s="24"/>
      <x:c r="H113" s="22"/>
      <x:c r="I113" s="22"/>
      <x:c r="J113" s="22"/>
    </x:row>
    <x:row r="114">
      <x:c r="A114" s="22"/>
      <x:c r="B114" s="28"/>
      <x:c r="C114" s="22"/>
      <x:c r="D114" s="22"/>
      <x:c r="E114" s="22"/>
      <x:c r="F114" s="22"/>
      <x:c r="G114" s="24"/>
      <x:c r="H114" s="22"/>
      <x:c r="I114" s="22"/>
      <x:c r="J114" s="22"/>
    </x:row>
    <x:row r="115">
      <x:c r="A115" s="22"/>
      <x:c r="B115" s="28"/>
      <x:c r="C115" s="22"/>
      <x:c r="D115" s="22"/>
      <x:c r="E115" s="22"/>
      <x:c r="F115" s="22"/>
      <x:c r="G115" s="24"/>
      <x:c r="H115" s="22"/>
      <x:c r="I115" s="22"/>
      <x:c r="J115" s="22"/>
    </x:row>
    <x:row r="116">
      <x:c r="A116" s="22"/>
      <x:c r="B116" s="28"/>
      <x:c r="C116" s="22"/>
      <x:c r="D116" s="22"/>
      <x:c r="E116" s="22"/>
      <x:c r="F116" s="22"/>
      <x:c r="G116" s="24"/>
      <x:c r="H116" s="22"/>
      <x:c r="I116" s="22"/>
      <x:c r="J116" s="22"/>
    </x:row>
    <x:row r="117">
      <x:c r="A117" s="22"/>
      <x:c r="B117" s="28"/>
      <x:c r="C117" s="22"/>
      <x:c r="D117" s="22"/>
      <x:c r="E117" s="22"/>
      <x:c r="F117" s="22"/>
      <x:c r="G117" s="24"/>
      <x:c r="H117" s="22"/>
      <x:c r="I117" s="22"/>
      <x:c r="J117" s="22"/>
    </x:row>
    <x:row r="118">
      <x:c r="A118" s="22"/>
      <x:c r="B118" s="28"/>
      <x:c r="C118" s="22"/>
      <x:c r="D118" s="22"/>
      <x:c r="E118" s="22"/>
      <x:c r="F118" s="22"/>
      <x:c r="G118" s="24"/>
      <x:c r="H118" s="22"/>
      <x:c r="I118" s="22"/>
      <x:c r="J118" s="22"/>
    </x:row>
    <x:row r="119">
      <x:c r="A119" s="22"/>
      <x:c r="B119" s="28"/>
      <x:c r="C119" s="22"/>
      <x:c r="D119" s="22"/>
      <x:c r="E119" s="22"/>
      <x:c r="F119" s="22"/>
      <x:c r="G119" s="24"/>
      <x:c r="H119" s="22"/>
      <x:c r="I119" s="22"/>
      <x:c r="J119" s="22"/>
    </x:row>
    <x:row r="120">
      <x:c r="A120" s="22"/>
      <x:c r="B120" s="28"/>
      <x:c r="C120" s="22"/>
      <x:c r="D120" s="22"/>
      <x:c r="E120" s="22"/>
      <x:c r="F120" s="22"/>
      <x:c r="G120" s="24"/>
      <x:c r="H120" s="22"/>
      <x:c r="I120" s="22"/>
      <x:c r="J120" s="22"/>
    </x:row>
    <x:row r="121">
      <x:c r="A121" s="22"/>
      <x:c r="B121" s="28"/>
      <x:c r="C121" s="22"/>
      <x:c r="D121" s="22"/>
      <x:c r="E121" s="22"/>
      <x:c r="F121" s="22"/>
      <x:c r="G121" s="24"/>
      <x:c r="H121" s="22"/>
      <x:c r="I121" s="22"/>
      <x:c r="J121" s="22"/>
    </x:row>
    <x:row r="122">
      <x:c r="A122" s="22"/>
      <x:c r="B122" s="28"/>
      <x:c r="C122" s="22"/>
      <x:c r="D122" s="22"/>
      <x:c r="E122" s="22"/>
      <x:c r="F122" s="22"/>
      <x:c r="G122" s="24"/>
      <x:c r="H122" s="22"/>
      <x:c r="I122" s="22"/>
      <x:c r="J122" s="22"/>
    </x:row>
    <x:row r="123">
      <x:c r="A123" s="22"/>
      <x:c r="B123" s="28"/>
      <x:c r="C123" s="22"/>
      <x:c r="D123" s="22"/>
      <x:c r="E123" s="22"/>
      <x:c r="F123" s="22"/>
      <x:c r="G123" s="24"/>
      <x:c r="H123" s="22"/>
      <x:c r="I123" s="22"/>
      <x:c r="J123" s="22"/>
    </x:row>
    <x:row r="124">
      <x:c r="A124" s="22"/>
      <x:c r="B124" s="28"/>
      <x:c r="C124" s="22"/>
      <x:c r="D124" s="22"/>
      <x:c r="E124" s="22"/>
      <x:c r="F124" s="22"/>
      <x:c r="G124" s="24"/>
      <x:c r="H124" s="22"/>
      <x:c r="I124" s="22"/>
      <x:c r="J124" s="22"/>
    </x:row>
    <x:row r="125">
      <x:c r="A125" s="22"/>
      <x:c r="B125" s="28"/>
      <x:c r="C125" s="22"/>
      <x:c r="D125" s="22"/>
      <x:c r="E125" s="22"/>
      <x:c r="F125" s="22"/>
      <x:c r="G125" s="24"/>
      <x:c r="H125" s="22"/>
      <x:c r="I125" s="22"/>
      <x:c r="J125" s="22"/>
    </x:row>
    <x:row r="126">
      <x:c r="A126" s="22"/>
      <x:c r="B126" s="28"/>
      <x:c r="C126" s="22"/>
      <x:c r="D126" s="22"/>
      <x:c r="E126" s="22"/>
      <x:c r="F126" s="22"/>
      <x:c r="G126" s="24"/>
      <x:c r="H126" s="22"/>
      <x:c r="I126" s="22"/>
      <x:c r="J126" s="22"/>
    </x:row>
    <x:row r="127">
      <x:c r="A127" s="22"/>
      <x:c r="B127" s="28"/>
      <x:c r="C127" s="22"/>
      <x:c r="D127" s="22"/>
      <x:c r="E127" s="22"/>
      <x:c r="F127" s="22"/>
      <x:c r="G127" s="24"/>
      <x:c r="H127" s="22"/>
      <x:c r="I127" s="22"/>
      <x:c r="J127" s="22"/>
    </x:row>
    <x:row r="128">
      <x:c r="A128" s="22"/>
      <x:c r="B128" s="28"/>
      <x:c r="C128" s="22"/>
      <x:c r="D128" s="22"/>
      <x:c r="E128" s="22"/>
      <x:c r="F128" s="22"/>
      <x:c r="G128" s="24"/>
      <x:c r="H128" s="22"/>
      <x:c r="I128" s="22"/>
      <x:c r="J128" s="22"/>
    </x:row>
    <x:row r="129">
      <x:c r="A129" s="22"/>
      <x:c r="B129" s="28"/>
      <x:c r="C129" s="22"/>
      <x:c r="D129" s="22"/>
      <x:c r="E129" s="22"/>
      <x:c r="F129" s="22"/>
      <x:c r="G129" s="24"/>
      <x:c r="H129" s="22"/>
      <x:c r="I129" s="22"/>
      <x:c r="J129" s="22"/>
    </x:row>
    <x:row r="130">
      <x:c r="A130" s="22"/>
      <x:c r="B130" s="28"/>
      <x:c r="C130" s="22"/>
      <x:c r="D130" s="22"/>
      <x:c r="E130" s="22"/>
      <x:c r="F130" s="22"/>
      <x:c r="G130" s="24"/>
      <x:c r="H130" s="22"/>
      <x:c r="I130" s="22"/>
      <x:c r="J130" s="22"/>
    </x:row>
    <x:row r="131">
      <x:c r="A131" s="22"/>
      <x:c r="B131" s="28"/>
      <x:c r="C131" s="22"/>
      <x:c r="D131" s="22"/>
      <x:c r="E131" s="22"/>
      <x:c r="F131" s="22"/>
      <x:c r="G131" s="24"/>
      <x:c r="H131" s="22"/>
      <x:c r="I131" s="22"/>
      <x:c r="J131" s="22"/>
    </x:row>
    <x:row r="132">
      <x:c r="A132" s="22"/>
      <x:c r="B132" s="28"/>
      <x:c r="C132" s="22"/>
      <x:c r="D132" s="22"/>
      <x:c r="E132" s="22"/>
      <x:c r="F132" s="22"/>
      <x:c r="G132" s="24"/>
      <x:c r="H132" s="22"/>
      <x:c r="I132" s="22"/>
      <x:c r="J132" s="22"/>
    </x:row>
    <x:row r="133">
      <x:c r="A133" s="22"/>
      <x:c r="B133" s="28"/>
      <x:c r="C133" s="22"/>
      <x:c r="D133" s="22"/>
      <x:c r="E133" s="22"/>
      <x:c r="F133" s="22"/>
      <x:c r="G133" s="24"/>
      <x:c r="H133" s="22"/>
      <x:c r="I133" s="22"/>
      <x:c r="J133" s="22"/>
    </x:row>
    <x:row r="134">
      <x:c r="A134" s="22"/>
      <x:c r="B134" s="28"/>
      <x:c r="C134" s="22"/>
      <x:c r="D134" s="22"/>
      <x:c r="E134" s="22"/>
      <x:c r="F134" s="22"/>
      <x:c r="G134" s="24"/>
      <x:c r="H134" s="22"/>
      <x:c r="I134" s="22"/>
      <x:c r="J134" s="22"/>
    </x:row>
    <x:row r="135">
      <x:c r="A135" s="22"/>
      <x:c r="B135" s="28"/>
      <x:c r="C135" s="22"/>
      <x:c r="D135" s="22"/>
      <x:c r="E135" s="22"/>
      <x:c r="F135" s="22"/>
      <x:c r="G135" s="24"/>
      <x:c r="H135" s="22"/>
      <x:c r="I135" s="22"/>
      <x:c r="J135" s="22"/>
    </x:row>
    <x:row r="136">
      <x:c r="A136" s="22"/>
      <x:c r="B136" s="28"/>
      <x:c r="C136" s="22"/>
      <x:c r="D136" s="22"/>
      <x:c r="E136" s="22"/>
      <x:c r="F136" s="22"/>
      <x:c r="G136" s="24"/>
      <x:c r="H136" s="22"/>
      <x:c r="I136" s="22"/>
      <x:c r="J136" s="22"/>
    </x:row>
    <x:row r="137">
      <x:c r="A137" s="22"/>
      <x:c r="B137" s="28"/>
      <x:c r="C137" s="22"/>
      <x:c r="D137" s="22"/>
      <x:c r="E137" s="22"/>
      <x:c r="F137" s="22"/>
      <x:c r="G137" s="24"/>
      <x:c r="H137" s="22"/>
      <x:c r="I137" s="22"/>
      <x:c r="J137" s="22"/>
    </x:row>
    <x:row r="138">
      <x:c r="A138" s="22"/>
      <x:c r="B138" s="28"/>
      <x:c r="C138" s="22"/>
      <x:c r="D138" s="22"/>
      <x:c r="E138" s="22"/>
      <x:c r="F138" s="22"/>
      <x:c r="G138" s="24"/>
      <x:c r="H138" s="22"/>
      <x:c r="I138" s="22"/>
      <x:c r="J138" s="22"/>
    </x:row>
    <x:row r="139">
      <x:c r="A139" s="22"/>
      <x:c r="B139" s="28"/>
      <x:c r="C139" s="22"/>
      <x:c r="D139" s="22"/>
      <x:c r="E139" s="22"/>
      <x:c r="F139" s="22"/>
      <x:c r="G139" s="24"/>
      <x:c r="H139" s="22"/>
      <x:c r="I139" s="22"/>
      <x:c r="J139" s="22"/>
    </x:row>
    <x:row r="140">
      <x:c r="A140" s="22"/>
      <x:c r="B140" s="28"/>
      <x:c r="C140" s="22"/>
      <x:c r="D140" s="22"/>
      <x:c r="E140" s="22"/>
      <x:c r="F140" s="22"/>
      <x:c r="G140" s="24"/>
      <x:c r="H140" s="22"/>
      <x:c r="I140" s="22"/>
      <x:c r="J140" s="22"/>
    </x:row>
    <x:row r="141">
      <x:c r="A141" s="22"/>
      <x:c r="B141" s="28"/>
      <x:c r="C141" s="22"/>
      <x:c r="D141" s="22"/>
      <x:c r="E141" s="22"/>
      <x:c r="F141" s="22"/>
      <x:c r="G141" s="24"/>
      <x:c r="H141" s="22"/>
      <x:c r="I141" s="22"/>
      <x:c r="J141" s="22"/>
    </x:row>
    <x:row r="142">
      <x:c r="A142" s="22"/>
      <x:c r="B142" s="28"/>
      <x:c r="C142" s="22"/>
      <x:c r="D142" s="22"/>
      <x:c r="E142" s="22"/>
      <x:c r="F142" s="22"/>
      <x:c r="G142" s="24"/>
      <x:c r="H142" s="22"/>
      <x:c r="I142" s="22"/>
      <x:c r="J142" s="22"/>
    </x:row>
    <x:row r="143">
      <x:c r="A143" s="22"/>
      <x:c r="B143" s="28"/>
      <x:c r="C143" s="22"/>
      <x:c r="D143" s="22"/>
      <x:c r="E143" s="22"/>
      <x:c r="F143" s="22"/>
      <x:c r="G143" s="24"/>
      <x:c r="H143" s="22"/>
      <x:c r="I143" s="22"/>
      <x:c r="J143" s="22"/>
    </x:row>
    <x:row r="144">
      <x:c r="A144" s="22"/>
      <x:c r="B144" s="28"/>
      <x:c r="C144" s="22"/>
      <x:c r="D144" s="22"/>
      <x:c r="E144" s="22"/>
      <x:c r="F144" s="22"/>
      <x:c r="G144" s="24"/>
      <x:c r="H144" s="22"/>
      <x:c r="I144" s="22"/>
      <x:c r="J144" s="22"/>
    </x:row>
    <x:row r="145">
      <x:c r="A145" s="22"/>
      <x:c r="B145" s="28"/>
      <x:c r="C145" s="22"/>
      <x:c r="D145" s="22"/>
      <x:c r="E145" s="22"/>
      <x:c r="F145" s="22"/>
      <x:c r="G145" s="24"/>
      <x:c r="H145" s="22"/>
      <x:c r="I145" s="22"/>
      <x:c r="J145" s="22"/>
    </x:row>
    <x:row r="146">
      <x:c r="A146" s="22"/>
      <x:c r="B146" s="28"/>
      <x:c r="C146" s="22"/>
      <x:c r="D146" s="22"/>
      <x:c r="E146" s="22"/>
      <x:c r="F146" s="22"/>
      <x:c r="G146" s="24"/>
      <x:c r="H146" s="22"/>
      <x:c r="I146" s="22"/>
      <x:c r="J146" s="22"/>
    </x:row>
    <x:row r="147">
      <x:c r="A147" s="22"/>
      <x:c r="B147" s="28"/>
      <x:c r="C147" s="22"/>
      <x:c r="D147" s="22"/>
      <x:c r="E147" s="22"/>
      <x:c r="F147" s="22"/>
      <x:c r="G147" s="24"/>
      <x:c r="H147" s="22"/>
      <x:c r="I147" s="22"/>
      <x:c r="J147" s="22"/>
    </x:row>
    <x:row r="148">
      <x:c r="A148" s="22"/>
      <x:c r="B148" s="28"/>
      <x:c r="C148" s="22"/>
      <x:c r="D148" s="22"/>
      <x:c r="E148" s="22"/>
      <x:c r="F148" s="22"/>
      <x:c r="G148" s="24"/>
      <x:c r="H148" s="22"/>
      <x:c r="I148" s="22"/>
      <x:c r="J148" s="22"/>
    </x:row>
    <x:row r="149">
      <x:c r="A149" s="22"/>
      <x:c r="B149" s="28"/>
      <x:c r="C149" s="22"/>
      <x:c r="D149" s="22"/>
      <x:c r="E149" s="22"/>
      <x:c r="F149" s="22"/>
      <x:c r="G149" s="24"/>
      <x:c r="H149" s="22"/>
      <x:c r="I149" s="22"/>
      <x:c r="J149" s="22"/>
    </x:row>
    <x:row r="150">
      <x:c r="A150" s="22"/>
      <x:c r="B150" s="28"/>
      <x:c r="C150" s="22"/>
      <x:c r="D150" s="22"/>
      <x:c r="E150" s="22"/>
      <x:c r="F150" s="22"/>
      <x:c r="G150" s="24"/>
      <x:c r="H150" s="22"/>
      <x:c r="I150" s="22"/>
      <x:c r="J150" s="22"/>
    </x:row>
    <x:row r="151">
      <x:c r="A151" s="22"/>
      <x:c r="B151" s="28"/>
      <x:c r="C151" s="22"/>
      <x:c r="D151" s="22"/>
      <x:c r="E151" s="22"/>
      <x:c r="F151" s="22"/>
      <x:c r="G151" s="24"/>
      <x:c r="H151" s="22"/>
      <x:c r="I151" s="22"/>
      <x:c r="J151" s="22"/>
    </x:row>
    <x:row r="152">
      <x:c r="A152" s="22"/>
      <x:c r="B152" s="28"/>
      <x:c r="C152" s="22"/>
      <x:c r="D152" s="22"/>
      <x:c r="E152" s="22"/>
      <x:c r="F152" s="22"/>
      <x:c r="G152" s="24"/>
      <x:c r="H152" s="22"/>
      <x:c r="I152" s="22"/>
      <x:c r="J152" s="22"/>
    </x:row>
    <x:row r="153">
      <x:c r="A153" s="22"/>
      <x:c r="B153" s="28"/>
      <x:c r="C153" s="22"/>
      <x:c r="D153" s="22"/>
      <x:c r="E153" s="22"/>
      <x:c r="F153" s="22"/>
      <x:c r="G153" s="24"/>
      <x:c r="H153" s="22"/>
      <x:c r="I153" s="22"/>
      <x:c r="J153" s="22"/>
    </x:row>
    <x:row r="154">
      <x:c r="A154" s="22"/>
      <x:c r="B154" s="28"/>
      <x:c r="C154" s="22"/>
      <x:c r="D154" s="22"/>
      <x:c r="E154" s="22"/>
      <x:c r="F154" s="22"/>
      <x:c r="G154" s="24"/>
      <x:c r="H154" s="22"/>
      <x:c r="I154" s="22"/>
      <x:c r="J154" s="22"/>
    </x:row>
    <x:row r="155">
      <x:c r="A155" s="22"/>
      <x:c r="B155" s="28"/>
      <x:c r="C155" s="22"/>
      <x:c r="D155" s="22"/>
      <x:c r="E155" s="22"/>
      <x:c r="F155" s="22"/>
      <x:c r="G155" s="24"/>
      <x:c r="H155" s="22"/>
      <x:c r="I155" s="22"/>
      <x:c r="J155" s="22"/>
    </x:row>
    <x:row r="156">
      <x:c r="A156" s="22"/>
      <x:c r="B156" s="28"/>
      <x:c r="C156" s="22"/>
      <x:c r="D156" s="22"/>
      <x:c r="E156" s="22"/>
      <x:c r="F156" s="22"/>
      <x:c r="G156" s="24"/>
      <x:c r="H156" s="22"/>
      <x:c r="I156" s="22"/>
      <x:c r="J156" s="22"/>
    </x:row>
    <x:row r="157">
      <x:c r="A157" s="22"/>
      <x:c r="B157" s="28"/>
      <x:c r="C157" s="22"/>
      <x:c r="D157" s="22"/>
      <x:c r="E157" s="22"/>
      <x:c r="F157" s="22"/>
      <x:c r="G157" s="24"/>
      <x:c r="H157" s="22"/>
      <x:c r="I157" s="22"/>
      <x:c r="J157" s="22"/>
    </x:row>
    <x:row r="158">
      <x:c r="A158" s="22"/>
      <x:c r="B158" s="28"/>
      <x:c r="C158" s="22"/>
      <x:c r="D158" s="22"/>
      <x:c r="E158" s="22"/>
      <x:c r="F158" s="22"/>
      <x:c r="G158" s="24"/>
      <x:c r="H158" s="22"/>
      <x:c r="I158" s="22"/>
      <x:c r="J158" s="22"/>
    </x:row>
    <x:row r="159">
      <x:c r="A159" s="22"/>
      <x:c r="B159" s="28"/>
      <x:c r="C159" s="22"/>
      <x:c r="D159" s="22"/>
      <x:c r="E159" s="22"/>
      <x:c r="F159" s="22"/>
      <x:c r="G159" s="24"/>
      <x:c r="H159" s="22"/>
      <x:c r="I159" s="22"/>
      <x:c r="J159" s="22"/>
    </x:row>
    <x:row r="160">
      <x:c r="A160" s="22"/>
      <x:c r="B160" s="28"/>
      <x:c r="C160" s="22"/>
      <x:c r="D160" s="22"/>
      <x:c r="E160" s="22"/>
      <x:c r="F160" s="22"/>
      <x:c r="G160" s="24"/>
      <x:c r="H160" s="22"/>
      <x:c r="I160" s="22"/>
      <x:c r="J160" s="22"/>
    </x:row>
    <x:row r="161">
      <x:c r="A161" s="22"/>
      <x:c r="B161" s="28"/>
      <x:c r="C161" s="22"/>
      <x:c r="D161" s="22"/>
      <x:c r="E161" s="22"/>
      <x:c r="F161" s="22"/>
      <x:c r="G161" s="24"/>
      <x:c r="H161" s="22"/>
      <x:c r="I161" s="22"/>
      <x:c r="J161" s="22"/>
    </x:row>
    <x:row r="162">
      <x:c r="A162" s="22"/>
      <x:c r="B162" s="28"/>
      <x:c r="C162" s="22"/>
      <x:c r="D162" s="22"/>
      <x:c r="E162" s="22"/>
      <x:c r="F162" s="22"/>
      <x:c r="G162" s="24"/>
      <x:c r="H162" s="22"/>
      <x:c r="I162" s="22"/>
      <x:c r="J162" s="22"/>
    </x:row>
    <x:row r="163">
      <x:c r="A163" s="22"/>
      <x:c r="B163" s="28"/>
      <x:c r="C163" s="22"/>
      <x:c r="D163" s="22"/>
      <x:c r="E163" s="22"/>
      <x:c r="F163" s="22"/>
      <x:c r="G163" s="24"/>
      <x:c r="H163" s="22"/>
      <x:c r="I163" s="22"/>
      <x:c r="J163" s="22"/>
    </x:row>
    <x:row r="164">
      <x:c r="A164" s="22"/>
      <x:c r="B164" s="28"/>
      <x:c r="C164" s="22"/>
      <x:c r="D164" s="22"/>
      <x:c r="E164" s="22"/>
      <x:c r="F164" s="22"/>
      <x:c r="G164" s="24"/>
      <x:c r="H164" s="22"/>
      <x:c r="I164" s="22"/>
      <x:c r="J164" s="22"/>
    </x:row>
    <x:row r="165">
      <x:c r="A165" s="22"/>
      <x:c r="B165" s="28"/>
      <x:c r="C165" s="22"/>
      <x:c r="D165" s="22"/>
      <x:c r="E165" s="22"/>
      <x:c r="F165" s="22"/>
      <x:c r="G165" s="24"/>
      <x:c r="H165" s="22"/>
      <x:c r="I165" s="22"/>
      <x:c r="J165" s="22"/>
    </x:row>
    <x:row r="166">
      <x:c r="A166" s="22"/>
      <x:c r="B166" s="28"/>
      <x:c r="C166" s="22"/>
      <x:c r="D166" s="22"/>
      <x:c r="E166" s="22"/>
      <x:c r="F166" s="22"/>
      <x:c r="G166" s="24"/>
      <x:c r="H166" s="22"/>
      <x:c r="I166" s="22"/>
      <x:c r="J166" s="22"/>
    </x:row>
    <x:row r="167">
      <x:c r="A167" s="22"/>
      <x:c r="B167" s="28"/>
      <x:c r="C167" s="22"/>
      <x:c r="D167" s="22"/>
      <x:c r="E167" s="22"/>
      <x:c r="F167" s="22"/>
      <x:c r="G167" s="24"/>
      <x:c r="H167" s="22"/>
      <x:c r="I167" s="22"/>
      <x:c r="J167" s="22"/>
    </x:row>
    <x:row r="168">
      <x:c r="A168" s="22"/>
      <x:c r="B168" s="28"/>
      <x:c r="C168" s="22"/>
      <x:c r="D168" s="22"/>
      <x:c r="E168" s="22"/>
      <x:c r="F168" s="22"/>
      <x:c r="G168" s="24"/>
      <x:c r="H168" s="22"/>
      <x:c r="I168" s="22"/>
      <x:c r="J168" s="22"/>
    </x:row>
    <x:row r="169">
      <x:c r="A169" s="22"/>
      <x:c r="B169" s="28"/>
      <x:c r="C169" s="22"/>
      <x:c r="D169" s="22"/>
      <x:c r="E169" s="22"/>
      <x:c r="F169" s="22"/>
      <x:c r="G169" s="24"/>
      <x:c r="H169" s="22"/>
      <x:c r="I169" s="22"/>
      <x:c r="J169" s="22"/>
    </x:row>
    <x:row r="170">
      <x:c r="A170" s="22"/>
      <x:c r="B170" s="28"/>
      <x:c r="C170" s="22"/>
      <x:c r="D170" s="22"/>
      <x:c r="E170" s="22"/>
      <x:c r="F170" s="22"/>
      <x:c r="G170" s="24"/>
      <x:c r="H170" s="22"/>
      <x:c r="I170" s="22"/>
      <x:c r="J170" s="22"/>
    </x:row>
    <x:row r="171">
      <x:c r="A171" s="22"/>
      <x:c r="B171" s="28"/>
      <x:c r="C171" s="22"/>
      <x:c r="D171" s="22"/>
      <x:c r="E171" s="22"/>
      <x:c r="F171" s="22"/>
      <x:c r="G171" s="24"/>
      <x:c r="H171" s="22"/>
      <x:c r="I171" s="22"/>
      <x:c r="J171" s="22"/>
    </x:row>
    <x:row r="172">
      <x:c r="A172" s="22"/>
      <x:c r="B172" s="28"/>
      <x:c r="C172" s="22"/>
      <x:c r="D172" s="22"/>
      <x:c r="E172" s="22"/>
      <x:c r="F172" s="22"/>
      <x:c r="G172" s="24"/>
      <x:c r="H172" s="22"/>
      <x:c r="I172" s="22"/>
      <x:c r="J172" s="22"/>
    </x:row>
    <x:row r="173">
      <x:c r="A173" s="22"/>
      <x:c r="B173" s="28"/>
      <x:c r="C173" s="22"/>
      <x:c r="D173" s="22"/>
      <x:c r="E173" s="22"/>
      <x:c r="F173" s="22"/>
      <x:c r="G173" s="24"/>
      <x:c r="H173" s="22"/>
      <x:c r="I173" s="22"/>
      <x:c r="J173" s="22"/>
    </x:row>
    <x:row r="174">
      <x:c r="A174" s="22"/>
      <x:c r="B174" s="28"/>
      <x:c r="C174" s="22"/>
      <x:c r="D174" s="22"/>
      <x:c r="E174" s="22"/>
      <x:c r="F174" s="22"/>
      <x:c r="G174" s="24"/>
      <x:c r="H174" s="22"/>
      <x:c r="I174" s="22"/>
      <x:c r="J174" s="22"/>
    </x:row>
    <x:row r="175">
      <x:c r="A175" s="22"/>
      <x:c r="B175" s="28"/>
      <x:c r="C175" s="22"/>
      <x:c r="D175" s="22"/>
      <x:c r="E175" s="22"/>
      <x:c r="F175" s="22"/>
      <x:c r="G175" s="24"/>
      <x:c r="H175" s="22"/>
      <x:c r="I175" s="22"/>
      <x:c r="J175" s="22"/>
    </x:row>
    <x:row r="176">
      <x:c r="A176" s="22"/>
      <x:c r="B176" s="28"/>
      <x:c r="C176" s="22"/>
      <x:c r="D176" s="22"/>
      <x:c r="E176" s="22"/>
      <x:c r="F176" s="22"/>
      <x:c r="G176" s="24"/>
      <x:c r="H176" s="22"/>
      <x:c r="I176" s="22"/>
      <x:c r="J176" s="22"/>
    </x:row>
    <x:row r="177">
      <x:c r="A177" s="22"/>
      <x:c r="B177" s="28"/>
      <x:c r="C177" s="22"/>
      <x:c r="D177" s="22"/>
      <x:c r="E177" s="22"/>
      <x:c r="F177" s="22"/>
      <x:c r="G177" s="24"/>
      <x:c r="H177" s="22"/>
      <x:c r="I177" s="22"/>
      <x:c r="J177" s="22"/>
    </x:row>
    <x:row r="178">
      <x:c r="A178" s="22"/>
      <x:c r="B178" s="28"/>
      <x:c r="C178" s="22"/>
      <x:c r="D178" s="22"/>
      <x:c r="E178" s="22"/>
      <x:c r="F178" s="22"/>
      <x:c r="G178" s="24"/>
      <x:c r="H178" s="22"/>
      <x:c r="I178" s="22"/>
      <x:c r="J178" s="22"/>
    </x:row>
    <x:row r="179">
      <x:c r="A179" s="22"/>
      <x:c r="B179" s="28"/>
      <x:c r="C179" s="22"/>
      <x:c r="D179" s="22"/>
      <x:c r="E179" s="22"/>
      <x:c r="F179" s="22"/>
      <x:c r="G179" s="24"/>
      <x:c r="H179" s="22"/>
      <x:c r="I179" s="22"/>
      <x:c r="J179" s="22"/>
    </x:row>
    <x:row r="180">
      <x:c r="A180" s="22"/>
      <x:c r="B180" s="28"/>
      <x:c r="C180" s="22"/>
      <x:c r="D180" s="22"/>
      <x:c r="E180" s="22"/>
      <x:c r="F180" s="22"/>
      <x:c r="G180" s="24"/>
      <x:c r="H180" s="22"/>
      <x:c r="I180" s="22"/>
      <x:c r="J180" s="22"/>
    </x:row>
    <x:row r="181">
      <x:c r="A181" s="22"/>
      <x:c r="B181" s="28"/>
      <x:c r="C181" s="22"/>
      <x:c r="D181" s="22"/>
      <x:c r="E181" s="22"/>
      <x:c r="F181" s="22"/>
      <x:c r="G181" s="24"/>
      <x:c r="H181" s="22"/>
      <x:c r="I181" s="22"/>
      <x:c r="J181" s="22"/>
    </x:row>
    <x:row r="182">
      <x:c r="A182" s="22"/>
      <x:c r="B182" s="28"/>
      <x:c r="C182" s="22"/>
      <x:c r="D182" s="22"/>
      <x:c r="E182" s="22"/>
      <x:c r="F182" s="22"/>
      <x:c r="G182" s="24"/>
      <x:c r="H182" s="22"/>
      <x:c r="I182" s="22"/>
      <x:c r="J182" s="22"/>
    </x:row>
    <x:row r="183">
      <x:c r="A183" s="22"/>
      <x:c r="B183" s="28"/>
      <x:c r="C183" s="22"/>
      <x:c r="D183" s="22"/>
      <x:c r="E183" s="22"/>
      <x:c r="F183" s="22"/>
      <x:c r="G183" s="24"/>
      <x:c r="H183" s="22"/>
      <x:c r="I183" s="22"/>
      <x:c r="J183" s="22"/>
    </x:row>
    <x:row r="184">
      <x:c r="A184" s="22"/>
      <x:c r="B184" s="28"/>
      <x:c r="C184" s="22"/>
      <x:c r="D184" s="22"/>
      <x:c r="E184" s="22"/>
      <x:c r="F184" s="22"/>
      <x:c r="G184" s="24"/>
      <x:c r="H184" s="22"/>
      <x:c r="I184" s="22"/>
      <x:c r="J184" s="22"/>
    </x:row>
    <x:row r="185">
      <x:c r="A185" s="22"/>
      <x:c r="B185" s="28"/>
      <x:c r="C185" s="22"/>
      <x:c r="D185" s="22"/>
      <x:c r="E185" s="22"/>
      <x:c r="F185" s="22"/>
      <x:c r="G185" s="24"/>
      <x:c r="H185" s="22"/>
      <x:c r="I185" s="22"/>
      <x:c r="J185" s="22"/>
    </x:row>
    <x:row r="186">
      <x:c r="A186" s="22"/>
      <x:c r="B186" s="28"/>
      <x:c r="C186" s="22"/>
      <x:c r="D186" s="22"/>
      <x:c r="E186" s="22"/>
      <x:c r="F186" s="22"/>
      <x:c r="G186" s="24"/>
      <x:c r="H186" s="22"/>
      <x:c r="I186" s="22"/>
      <x:c r="J186" s="22"/>
    </x:row>
    <x:row r="187">
      <x:c r="A187" s="22"/>
      <x:c r="B187" s="28"/>
      <x:c r="C187" s="22"/>
      <x:c r="D187" s="22"/>
      <x:c r="E187" s="22"/>
      <x:c r="F187" s="22"/>
      <x:c r="G187" s="24"/>
      <x:c r="H187" s="22"/>
      <x:c r="I187" s="22"/>
      <x:c r="J187" s="22"/>
    </x:row>
    <x:row r="188">
      <x:c r="A188" s="22"/>
      <x:c r="B188" s="28"/>
      <x:c r="C188" s="22"/>
      <x:c r="D188" s="22"/>
      <x:c r="E188" s="22"/>
      <x:c r="F188" s="22"/>
      <x:c r="G188" s="24"/>
      <x:c r="H188" s="22"/>
      <x:c r="I188" s="22"/>
      <x:c r="J188" s="22"/>
    </x:row>
    <x:row r="189">
      <x:c r="A189" s="22"/>
      <x:c r="B189" s="28"/>
      <x:c r="C189" s="22"/>
      <x:c r="D189" s="22"/>
      <x:c r="E189" s="22"/>
      <x:c r="F189" s="22"/>
      <x:c r="G189" s="24"/>
      <x:c r="H189" s="22"/>
      <x:c r="I189" s="22"/>
      <x:c r="J189" s="22"/>
    </x:row>
    <x:row r="190">
      <x:c r="A190" s="22"/>
      <x:c r="B190" s="28"/>
      <x:c r="C190" s="22"/>
      <x:c r="D190" s="22"/>
      <x:c r="E190" s="22"/>
      <x:c r="F190" s="22"/>
      <x:c r="G190" s="24"/>
      <x:c r="H190" s="22"/>
      <x:c r="I190" s="22"/>
      <x:c r="J190" s="22"/>
    </x:row>
    <x:row r="191">
      <x:c r="A191" s="22"/>
      <x:c r="B191" s="28"/>
      <x:c r="C191" s="22"/>
      <x:c r="D191" s="22"/>
      <x:c r="E191" s="22"/>
      <x:c r="F191" s="22"/>
      <x:c r="G191" s="24"/>
      <x:c r="H191" s="22"/>
      <x:c r="I191" s="22"/>
      <x:c r="J191" s="22"/>
    </x:row>
    <x:row r="192">
      <x:c r="A192" s="22"/>
      <x:c r="B192" s="28"/>
      <x:c r="C192" s="22"/>
      <x:c r="D192" s="22"/>
      <x:c r="E192" s="22"/>
      <x:c r="F192" s="22"/>
      <x:c r="G192" s="24"/>
      <x:c r="H192" s="22"/>
      <x:c r="I192" s="22"/>
      <x:c r="J192" s="22"/>
    </x:row>
    <x:row r="193">
      <x:c r="A193" s="22"/>
      <x:c r="B193" s="28"/>
      <x:c r="C193" s="22"/>
      <x:c r="D193" s="22"/>
      <x:c r="E193" s="22"/>
      <x:c r="F193" s="22"/>
      <x:c r="G193" s="24"/>
      <x:c r="H193" s="22"/>
      <x:c r="I193" s="22"/>
      <x:c r="J193" s="22"/>
    </x:row>
    <x:row r="194">
      <x:c r="A194" s="22"/>
      <x:c r="B194" s="28"/>
      <x:c r="C194" s="22"/>
      <x:c r="D194" s="22"/>
      <x:c r="E194" s="22"/>
      <x:c r="F194" s="22"/>
      <x:c r="G194" s="24"/>
      <x:c r="H194" s="22"/>
      <x:c r="I194" s="22"/>
      <x:c r="J194" s="22"/>
    </x:row>
    <x:row r="195">
      <x:c r="A195" s="22"/>
      <x:c r="B195" s="28"/>
      <x:c r="C195" s="22"/>
      <x:c r="D195" s="22"/>
      <x:c r="E195" s="22"/>
      <x:c r="F195" s="22"/>
      <x:c r="G195" s="24"/>
      <x:c r="H195" s="22"/>
      <x:c r="I195" s="22"/>
      <x:c r="J195" s="22"/>
    </x:row>
    <x:row r="196">
      <x:c r="A196" s="22"/>
      <x:c r="B196" s="28"/>
      <x:c r="C196" s="22"/>
      <x:c r="D196" s="22"/>
      <x:c r="E196" s="22"/>
      <x:c r="F196" s="22"/>
      <x:c r="G196" s="24"/>
      <x:c r="H196" s="22"/>
      <x:c r="I196" s="22"/>
      <x:c r="J196" s="22"/>
    </x:row>
    <x:row r="197">
      <x:c r="A197" s="22"/>
      <x:c r="B197" s="28"/>
      <x:c r="C197" s="22"/>
      <x:c r="D197" s="22"/>
      <x:c r="E197" s="22"/>
      <x:c r="F197" s="22"/>
      <x:c r="G197" s="24"/>
      <x:c r="H197" s="22"/>
      <x:c r="I197" s="22"/>
      <x:c r="J197" s="22"/>
    </x:row>
    <x:row r="198">
      <x:c r="A198" s="22"/>
      <x:c r="B198" s="28"/>
      <x:c r="C198" s="22"/>
      <x:c r="D198" s="22"/>
      <x:c r="E198" s="22"/>
      <x:c r="F198" s="22"/>
      <x:c r="G198" s="24"/>
      <x:c r="H198" s="22"/>
      <x:c r="I198" s="22"/>
      <x:c r="J198" s="22"/>
    </x:row>
    <x:row r="199">
      <x:c r="A199" s="22"/>
      <x:c r="B199" s="28"/>
      <x:c r="C199" s="22"/>
      <x:c r="D199" s="22"/>
      <x:c r="E199" s="22"/>
      <x:c r="F199" s="22"/>
      <x:c r="G199" s="24"/>
      <x:c r="H199" s="22"/>
      <x:c r="I199" s="22"/>
      <x:c r="J199" s="22"/>
    </x:row>
    <x:row r="200">
      <x:c r="A200" s="22"/>
      <x:c r="B200" s="28"/>
      <x:c r="C200" s="22"/>
      <x:c r="D200" s="22"/>
      <x:c r="E200" s="22"/>
      <x:c r="F200" s="22"/>
      <x:c r="G200" s="24"/>
      <x:c r="H200" s="22"/>
      <x:c r="I200" s="22"/>
      <x:c r="J200" s="22"/>
    </x:row>
  </x:sheetData>
  <x:mergeCells>
    <x:mergeCell ref="A1:W1"/>
    <x:mergeCell ref="A2:W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3" hidden="0" customWidth="1"/>
    <x:col min="4" max="4" width="18" hidden="0" customWidth="1"/>
    <x:col min="5" max="5" width="20" hidden="0" customWidth="1"/>
    <x:col min="6" max="6" width="24" hidden="0" customWidth="1"/>
    <x:col min="7" max="7" width="15" hidden="0" customWidth="1"/>
    <x:col min="8" max="8" width="30" hidden="0" customWidth="1"/>
  </x:cols>
  <x:sheetData>
    <x:row r="1" ht="26" customHeight="1">
      <x:c r="A1" s="3" t="str">
        <x:v>ĐỊNH GIÁ TÀI SẢN</x:v>
      </x:c>
    </x:row>
    <x:row r="2" ht="28" customHeight="1">
      <x:c r="A2" s="8" t="str">
        <x:v>Chốt giá trị vàng, ô tô, xe máy, bất động sản theo giá bán hoặc thanh lý thực tế.</x:v>
      </x:c>
    </x:row>
    <x:row r="4" ht="30" customHeight="1">
      <x:c r="A4" s="16" t="str">
        <x:v>Valuation_ID</x:v>
      </x:c>
      <x:c r="B4" s="16" t="str">
        <x:v>Ngày định giá</x:v>
      </x:c>
      <x:c r="C4" s="16" t="str">
        <x:v>Account_ID</x:v>
      </x:c>
      <x:c r="D4" s="16" t="str">
        <x:v>Giá trị ước tính</x:v>
      </x:c>
      <x:c r="E4" s="16" t="str">
        <x:v>Giá trị thanh lý nhanh</x:v>
      </x:c>
      <x:c r="F4" s="16" t="str">
        <x:v>Nguồn định giá</x:v>
      </x:c>
      <x:c r="G4" s="16" t="str">
        <x:v>Người nhập</x:v>
      </x:c>
      <x:c r="H4" s="16" t="str">
        <x:v>Ghi chú</x:v>
      </x:c>
    </x:row>
    <x:row r="5">
      <x:c r="A5" s="22"/>
      <x:c r="B5" s="28"/>
      <x:c r="C5" s="22"/>
      <x:c r="D5" s="24"/>
      <x:c r="E5" s="24"/>
      <x:c r="F5" s="22"/>
      <x:c r="G5" s="22"/>
      <x:c r="H5" s="22"/>
    </x:row>
    <x:row r="6">
      <x:c r="A6" s="22"/>
      <x:c r="B6" s="28"/>
      <x:c r="C6" s="22"/>
      <x:c r="D6" s="24"/>
      <x:c r="E6" s="24"/>
      <x:c r="F6" s="22"/>
      <x:c r="G6" s="22"/>
      <x:c r="H6" s="22"/>
    </x:row>
    <x:row r="7">
      <x:c r="A7" s="22"/>
      <x:c r="B7" s="28"/>
      <x:c r="C7" s="22"/>
      <x:c r="D7" s="24"/>
      <x:c r="E7" s="24"/>
      <x:c r="F7" s="22"/>
      <x:c r="G7" s="22"/>
      <x:c r="H7" s="22"/>
    </x:row>
    <x:row r="8">
      <x:c r="A8" s="22"/>
      <x:c r="B8" s="28"/>
      <x:c r="C8" s="22"/>
      <x:c r="D8" s="24"/>
      <x:c r="E8" s="24"/>
      <x:c r="F8" s="22"/>
      <x:c r="G8" s="22"/>
      <x:c r="H8" s="22"/>
    </x:row>
    <x:row r="9">
      <x:c r="A9" s="22"/>
      <x:c r="B9" s="28"/>
      <x:c r="C9" s="22"/>
      <x:c r="D9" s="24"/>
      <x:c r="E9" s="24"/>
      <x:c r="F9" s="22"/>
      <x:c r="G9" s="22"/>
      <x:c r="H9" s="22"/>
    </x:row>
    <x:row r="10">
      <x:c r="A10" s="22"/>
      <x:c r="B10" s="28"/>
      <x:c r="C10" s="22"/>
      <x:c r="D10" s="24"/>
      <x:c r="E10" s="24"/>
      <x:c r="F10" s="22"/>
      <x:c r="G10" s="22"/>
      <x:c r="H10" s="22"/>
    </x:row>
    <x:row r="11">
      <x:c r="A11" s="22"/>
      <x:c r="B11" s="28"/>
      <x:c r="C11" s="22"/>
      <x:c r="D11" s="24"/>
      <x:c r="E11" s="24"/>
      <x:c r="F11" s="22"/>
      <x:c r="G11" s="22"/>
      <x:c r="H11" s="22"/>
    </x:row>
    <x:row r="12">
      <x:c r="A12" s="22"/>
      <x:c r="B12" s="28"/>
      <x:c r="C12" s="22"/>
      <x:c r="D12" s="24"/>
      <x:c r="E12" s="24"/>
      <x:c r="F12" s="22"/>
      <x:c r="G12" s="22"/>
      <x:c r="H12" s="22"/>
    </x:row>
    <x:row r="13">
      <x:c r="A13" s="22"/>
      <x:c r="B13" s="28"/>
      <x:c r="C13" s="22"/>
      <x:c r="D13" s="24"/>
      <x:c r="E13" s="24"/>
      <x:c r="F13" s="22"/>
      <x:c r="G13" s="22"/>
      <x:c r="H13" s="22"/>
    </x:row>
    <x:row r="14">
      <x:c r="A14" s="22"/>
      <x:c r="B14" s="28"/>
      <x:c r="C14" s="22"/>
      <x:c r="D14" s="24"/>
      <x:c r="E14" s="24"/>
      <x:c r="F14" s="22"/>
      <x:c r="G14" s="22"/>
      <x:c r="H14" s="22"/>
    </x:row>
    <x:row r="15">
      <x:c r="A15" s="22"/>
      <x:c r="B15" s="28"/>
      <x:c r="C15" s="22"/>
      <x:c r="D15" s="24"/>
      <x:c r="E15" s="24"/>
      <x:c r="F15" s="22"/>
      <x:c r="G15" s="22"/>
      <x:c r="H15" s="22"/>
    </x:row>
    <x:row r="16">
      <x:c r="A16" s="22"/>
      <x:c r="B16" s="28"/>
      <x:c r="C16" s="22"/>
      <x:c r="D16" s="24"/>
      <x:c r="E16" s="24"/>
      <x:c r="F16" s="22"/>
      <x:c r="G16" s="22"/>
      <x:c r="H16" s="22"/>
    </x:row>
    <x:row r="17">
      <x:c r="A17" s="22"/>
      <x:c r="B17" s="28"/>
      <x:c r="C17" s="22"/>
      <x:c r="D17" s="24"/>
      <x:c r="E17" s="24"/>
      <x:c r="F17" s="22"/>
      <x:c r="G17" s="22"/>
      <x:c r="H17" s="22"/>
    </x:row>
    <x:row r="18">
      <x:c r="A18" s="22"/>
      <x:c r="B18" s="28"/>
      <x:c r="C18" s="22"/>
      <x:c r="D18" s="24"/>
      <x:c r="E18" s="24"/>
      <x:c r="F18" s="22"/>
      <x:c r="G18" s="22"/>
      <x:c r="H18" s="22"/>
    </x:row>
    <x:row r="19">
      <x:c r="A19" s="22"/>
      <x:c r="B19" s="28"/>
      <x:c r="C19" s="22"/>
      <x:c r="D19" s="24"/>
      <x:c r="E19" s="24"/>
      <x:c r="F19" s="22"/>
      <x:c r="G19" s="22"/>
      <x:c r="H19" s="22"/>
    </x:row>
    <x:row r="20">
      <x:c r="A20" s="22"/>
      <x:c r="B20" s="28"/>
      <x:c r="C20" s="22"/>
      <x:c r="D20" s="24"/>
      <x:c r="E20" s="24"/>
      <x:c r="F20" s="22"/>
      <x:c r="G20" s="22"/>
      <x:c r="H20" s="22"/>
    </x:row>
    <x:row r="21">
      <x:c r="A21" s="22"/>
      <x:c r="B21" s="28"/>
      <x:c r="C21" s="22"/>
      <x:c r="D21" s="24"/>
      <x:c r="E21" s="24"/>
      <x:c r="F21" s="22"/>
      <x:c r="G21" s="22"/>
      <x:c r="H21" s="22"/>
    </x:row>
    <x:row r="22">
      <x:c r="A22" s="22"/>
      <x:c r="B22" s="28"/>
      <x:c r="C22" s="22"/>
      <x:c r="D22" s="24"/>
      <x:c r="E22" s="24"/>
      <x:c r="F22" s="22"/>
      <x:c r="G22" s="22"/>
      <x:c r="H22" s="22"/>
    </x:row>
    <x:row r="23">
      <x:c r="A23" s="22"/>
      <x:c r="B23" s="28"/>
      <x:c r="C23" s="22"/>
      <x:c r="D23" s="24"/>
      <x:c r="E23" s="24"/>
      <x:c r="F23" s="22"/>
      <x:c r="G23" s="22"/>
      <x:c r="H23" s="22"/>
    </x:row>
    <x:row r="24">
      <x:c r="A24" s="22"/>
      <x:c r="B24" s="28"/>
      <x:c r="C24" s="22"/>
      <x:c r="D24" s="24"/>
      <x:c r="E24" s="24"/>
      <x:c r="F24" s="22"/>
      <x:c r="G24" s="22"/>
      <x:c r="H24" s="22"/>
    </x:row>
    <x:row r="25">
      <x:c r="A25" s="22"/>
      <x:c r="B25" s="28"/>
      <x:c r="C25" s="22"/>
      <x:c r="D25" s="24"/>
      <x:c r="E25" s="24"/>
      <x:c r="F25" s="22"/>
      <x:c r="G25" s="22"/>
      <x:c r="H25" s="22"/>
    </x:row>
    <x:row r="26">
      <x:c r="A26" s="22"/>
      <x:c r="B26" s="28"/>
      <x:c r="C26" s="22"/>
      <x:c r="D26" s="24"/>
      <x:c r="E26" s="24"/>
      <x:c r="F26" s="22"/>
      <x:c r="G26" s="22"/>
      <x:c r="H26" s="22"/>
    </x:row>
    <x:row r="27">
      <x:c r="A27" s="22"/>
      <x:c r="B27" s="28"/>
      <x:c r="C27" s="22"/>
      <x:c r="D27" s="24"/>
      <x:c r="E27" s="24"/>
      <x:c r="F27" s="22"/>
      <x:c r="G27" s="22"/>
      <x:c r="H27" s="22"/>
    </x:row>
    <x:row r="28">
      <x:c r="A28" s="22"/>
      <x:c r="B28" s="28"/>
      <x:c r="C28" s="22"/>
      <x:c r="D28" s="24"/>
      <x:c r="E28" s="24"/>
      <x:c r="F28" s="22"/>
      <x:c r="G28" s="22"/>
      <x:c r="H28" s="22"/>
    </x:row>
    <x:row r="29">
      <x:c r="A29" s="22"/>
      <x:c r="B29" s="28"/>
      <x:c r="C29" s="22"/>
      <x:c r="D29" s="24"/>
      <x:c r="E29" s="24"/>
      <x:c r="F29" s="22"/>
      <x:c r="G29" s="22"/>
      <x:c r="H29" s="22"/>
    </x:row>
    <x:row r="30">
      <x:c r="A30" s="22"/>
      <x:c r="B30" s="28"/>
      <x:c r="C30" s="22"/>
      <x:c r="D30" s="24"/>
      <x:c r="E30" s="24"/>
      <x:c r="F30" s="22"/>
      <x:c r="G30" s="22"/>
      <x:c r="H30" s="22"/>
    </x:row>
    <x:row r="31">
      <x:c r="A31" s="22"/>
      <x:c r="B31" s="28"/>
      <x:c r="C31" s="22"/>
      <x:c r="D31" s="24"/>
      <x:c r="E31" s="24"/>
      <x:c r="F31" s="22"/>
      <x:c r="G31" s="22"/>
      <x:c r="H31" s="22"/>
    </x:row>
    <x:row r="32">
      <x:c r="A32" s="22"/>
      <x:c r="B32" s="28"/>
      <x:c r="C32" s="22"/>
      <x:c r="D32" s="24"/>
      <x:c r="E32" s="24"/>
      <x:c r="F32" s="22"/>
      <x:c r="G32" s="22"/>
      <x:c r="H32" s="22"/>
    </x:row>
    <x:row r="33">
      <x:c r="A33" s="22"/>
      <x:c r="B33" s="28"/>
      <x:c r="C33" s="22"/>
      <x:c r="D33" s="24"/>
      <x:c r="E33" s="24"/>
      <x:c r="F33" s="22"/>
      <x:c r="G33" s="22"/>
      <x:c r="H33" s="22"/>
    </x:row>
    <x:row r="34">
      <x:c r="A34" s="22"/>
      <x:c r="B34" s="28"/>
      <x:c r="C34" s="22"/>
      <x:c r="D34" s="24"/>
      <x:c r="E34" s="24"/>
      <x:c r="F34" s="22"/>
      <x:c r="G34" s="22"/>
      <x:c r="H34" s="22"/>
    </x:row>
    <x:row r="35">
      <x:c r="A35" s="22"/>
      <x:c r="B35" s="28"/>
      <x:c r="C35" s="22"/>
      <x:c r="D35" s="24"/>
      <x:c r="E35" s="24"/>
      <x:c r="F35" s="22"/>
      <x:c r="G35" s="22"/>
      <x:c r="H35" s="22"/>
    </x:row>
    <x:row r="36">
      <x:c r="A36" s="22"/>
      <x:c r="B36" s="28"/>
      <x:c r="C36" s="22"/>
      <x:c r="D36" s="24"/>
      <x:c r="E36" s="24"/>
      <x:c r="F36" s="22"/>
      <x:c r="G36" s="22"/>
      <x:c r="H36" s="22"/>
    </x:row>
    <x:row r="37">
      <x:c r="A37" s="22"/>
      <x:c r="B37" s="28"/>
      <x:c r="C37" s="22"/>
      <x:c r="D37" s="24"/>
      <x:c r="E37" s="24"/>
      <x:c r="F37" s="22"/>
      <x:c r="G37" s="22"/>
      <x:c r="H37" s="22"/>
    </x:row>
    <x:row r="38">
      <x:c r="A38" s="22"/>
      <x:c r="B38" s="28"/>
      <x:c r="C38" s="22"/>
      <x:c r="D38" s="24"/>
      <x:c r="E38" s="24"/>
      <x:c r="F38" s="22"/>
      <x:c r="G38" s="22"/>
      <x:c r="H38" s="22"/>
    </x:row>
    <x:row r="39">
      <x:c r="A39" s="22"/>
      <x:c r="B39" s="28"/>
      <x:c r="C39" s="22"/>
      <x:c r="D39" s="24"/>
      <x:c r="E39" s="24"/>
      <x:c r="F39" s="22"/>
      <x:c r="G39" s="22"/>
      <x:c r="H39" s="22"/>
    </x:row>
    <x:row r="40">
      <x:c r="A40" s="22"/>
      <x:c r="B40" s="28"/>
      <x:c r="C40" s="22"/>
      <x:c r="D40" s="24"/>
      <x:c r="E40" s="24"/>
      <x:c r="F40" s="22"/>
      <x:c r="G40" s="22"/>
      <x:c r="H40" s="22"/>
    </x:row>
    <x:row r="41">
      <x:c r="A41" s="22"/>
      <x:c r="B41" s="28"/>
      <x:c r="C41" s="22"/>
      <x:c r="D41" s="24"/>
      <x:c r="E41" s="24"/>
      <x:c r="F41" s="22"/>
      <x:c r="G41" s="22"/>
      <x:c r="H41" s="22"/>
    </x:row>
    <x:row r="42">
      <x:c r="A42" s="22"/>
      <x:c r="B42" s="28"/>
      <x:c r="C42" s="22"/>
      <x:c r="D42" s="24"/>
      <x:c r="E42" s="24"/>
      <x:c r="F42" s="22"/>
      <x:c r="G42" s="22"/>
      <x:c r="H42" s="22"/>
    </x:row>
    <x:row r="43">
      <x:c r="A43" s="22"/>
      <x:c r="B43" s="28"/>
      <x:c r="C43" s="22"/>
      <x:c r="D43" s="24"/>
      <x:c r="E43" s="24"/>
      <x:c r="F43" s="22"/>
      <x:c r="G43" s="22"/>
      <x:c r="H43" s="22"/>
    </x:row>
    <x:row r="44">
      <x:c r="A44" s="22"/>
      <x:c r="B44" s="28"/>
      <x:c r="C44" s="22"/>
      <x:c r="D44" s="24"/>
      <x:c r="E44" s="24"/>
      <x:c r="F44" s="22"/>
      <x:c r="G44" s="22"/>
      <x:c r="H44" s="22"/>
    </x:row>
    <x:row r="45">
      <x:c r="A45" s="22"/>
      <x:c r="B45" s="28"/>
      <x:c r="C45" s="22"/>
      <x:c r="D45" s="24"/>
      <x:c r="E45" s="24"/>
      <x:c r="F45" s="22"/>
      <x:c r="G45" s="22"/>
      <x:c r="H45" s="22"/>
    </x:row>
    <x:row r="46">
      <x:c r="A46" s="22"/>
      <x:c r="B46" s="28"/>
      <x:c r="C46" s="22"/>
      <x:c r="D46" s="24"/>
      <x:c r="E46" s="24"/>
      <x:c r="F46" s="22"/>
      <x:c r="G46" s="22"/>
      <x:c r="H46" s="22"/>
    </x:row>
    <x:row r="47">
      <x:c r="A47" s="22"/>
      <x:c r="B47" s="28"/>
      <x:c r="C47" s="22"/>
      <x:c r="D47" s="24"/>
      <x:c r="E47" s="24"/>
      <x:c r="F47" s="22"/>
      <x:c r="G47" s="22"/>
      <x:c r="H47" s="22"/>
    </x:row>
    <x:row r="48">
      <x:c r="A48" s="22"/>
      <x:c r="B48" s="28"/>
      <x:c r="C48" s="22"/>
      <x:c r="D48" s="24"/>
      <x:c r="E48" s="24"/>
      <x:c r="F48" s="22"/>
      <x:c r="G48" s="22"/>
      <x:c r="H48" s="22"/>
    </x:row>
    <x:row r="49">
      <x:c r="A49" s="22"/>
      <x:c r="B49" s="28"/>
      <x:c r="C49" s="22"/>
      <x:c r="D49" s="24"/>
      <x:c r="E49" s="24"/>
      <x:c r="F49" s="22"/>
      <x:c r="G49" s="22"/>
      <x:c r="H49" s="22"/>
    </x:row>
    <x:row r="50">
      <x:c r="A50" s="22"/>
      <x:c r="B50" s="28"/>
      <x:c r="C50" s="22"/>
      <x:c r="D50" s="24"/>
      <x:c r="E50" s="24"/>
      <x:c r="F50" s="22"/>
      <x:c r="G50" s="22"/>
      <x:c r="H50" s="22"/>
    </x:row>
    <x:row r="51">
      <x:c r="A51" s="22"/>
      <x:c r="B51" s="28"/>
      <x:c r="C51" s="22"/>
      <x:c r="D51" s="24"/>
      <x:c r="E51" s="24"/>
      <x:c r="F51" s="22"/>
      <x:c r="G51" s="22"/>
      <x:c r="H51" s="22"/>
    </x:row>
    <x:row r="52">
      <x:c r="A52" s="22"/>
      <x:c r="B52" s="28"/>
      <x:c r="C52" s="22"/>
      <x:c r="D52" s="24"/>
      <x:c r="E52" s="24"/>
      <x:c r="F52" s="22"/>
      <x:c r="G52" s="22"/>
      <x:c r="H52" s="22"/>
    </x:row>
    <x:row r="53">
      <x:c r="A53" s="22"/>
      <x:c r="B53" s="28"/>
      <x:c r="C53" s="22"/>
      <x:c r="D53" s="24"/>
      <x:c r="E53" s="24"/>
      <x:c r="F53" s="22"/>
      <x:c r="G53" s="22"/>
      <x:c r="H53" s="22"/>
    </x:row>
    <x:row r="54">
      <x:c r="A54" s="22"/>
      <x:c r="B54" s="28"/>
      <x:c r="C54" s="22"/>
      <x:c r="D54" s="24"/>
      <x:c r="E54" s="24"/>
      <x:c r="F54" s="22"/>
      <x:c r="G54" s="22"/>
      <x:c r="H54" s="22"/>
    </x:row>
    <x:row r="55">
      <x:c r="A55" s="22"/>
      <x:c r="B55" s="28"/>
      <x:c r="C55" s="22"/>
      <x:c r="D55" s="24"/>
      <x:c r="E55" s="24"/>
      <x:c r="F55" s="22"/>
      <x:c r="G55" s="22"/>
      <x:c r="H55" s="22"/>
    </x:row>
    <x:row r="56">
      <x:c r="A56" s="22"/>
      <x:c r="B56" s="28"/>
      <x:c r="C56" s="22"/>
      <x:c r="D56" s="24"/>
      <x:c r="E56" s="24"/>
      <x:c r="F56" s="22"/>
      <x:c r="G56" s="22"/>
      <x:c r="H56" s="22"/>
    </x:row>
    <x:row r="57">
      <x:c r="A57" s="22"/>
      <x:c r="B57" s="28"/>
      <x:c r="C57" s="22"/>
      <x:c r="D57" s="24"/>
      <x:c r="E57" s="24"/>
      <x:c r="F57" s="22"/>
      <x:c r="G57" s="22"/>
      <x:c r="H57" s="22"/>
    </x:row>
    <x:row r="58">
      <x:c r="A58" s="22"/>
      <x:c r="B58" s="28"/>
      <x:c r="C58" s="22"/>
      <x:c r="D58" s="24"/>
      <x:c r="E58" s="24"/>
      <x:c r="F58" s="22"/>
      <x:c r="G58" s="22"/>
      <x:c r="H58" s="22"/>
    </x:row>
    <x:row r="59">
      <x:c r="A59" s="22"/>
      <x:c r="B59" s="28"/>
      <x:c r="C59" s="22"/>
      <x:c r="D59" s="24"/>
      <x:c r="E59" s="24"/>
      <x:c r="F59" s="22"/>
      <x:c r="G59" s="22"/>
      <x:c r="H59" s="22"/>
    </x:row>
    <x:row r="60">
      <x:c r="A60" s="22"/>
      <x:c r="B60" s="28"/>
      <x:c r="C60" s="22"/>
      <x:c r="D60" s="24"/>
      <x:c r="E60" s="24"/>
      <x:c r="F60" s="22"/>
      <x:c r="G60" s="22"/>
      <x:c r="H60" s="22"/>
    </x:row>
    <x:row r="61">
      <x:c r="A61" s="22"/>
      <x:c r="B61" s="28"/>
      <x:c r="C61" s="22"/>
      <x:c r="D61" s="24"/>
      <x:c r="E61" s="24"/>
      <x:c r="F61" s="22"/>
      <x:c r="G61" s="22"/>
      <x:c r="H61" s="22"/>
    </x:row>
    <x:row r="62">
      <x:c r="A62" s="22"/>
      <x:c r="B62" s="28"/>
      <x:c r="C62" s="22"/>
      <x:c r="D62" s="24"/>
      <x:c r="E62" s="24"/>
      <x:c r="F62" s="22"/>
      <x:c r="G62" s="22"/>
      <x:c r="H62" s="22"/>
    </x:row>
    <x:row r="63">
      <x:c r="A63" s="22"/>
      <x:c r="B63" s="28"/>
      <x:c r="C63" s="22"/>
      <x:c r="D63" s="24"/>
      <x:c r="E63" s="24"/>
      <x:c r="F63" s="22"/>
      <x:c r="G63" s="22"/>
      <x:c r="H63" s="22"/>
    </x:row>
    <x:row r="64">
      <x:c r="A64" s="22"/>
      <x:c r="B64" s="28"/>
      <x:c r="C64" s="22"/>
      <x:c r="D64" s="24"/>
      <x:c r="E64" s="24"/>
      <x:c r="F64" s="22"/>
      <x:c r="G64" s="22"/>
      <x:c r="H64" s="22"/>
    </x:row>
    <x:row r="65">
      <x:c r="A65" s="22"/>
      <x:c r="B65" s="28"/>
      <x:c r="C65" s="22"/>
      <x:c r="D65" s="24"/>
      <x:c r="E65" s="24"/>
      <x:c r="F65" s="22"/>
      <x:c r="G65" s="22"/>
      <x:c r="H65" s="22"/>
    </x:row>
    <x:row r="66">
      <x:c r="A66" s="22"/>
      <x:c r="B66" s="28"/>
      <x:c r="C66" s="22"/>
      <x:c r="D66" s="24"/>
      <x:c r="E66" s="24"/>
      <x:c r="F66" s="22"/>
      <x:c r="G66" s="22"/>
      <x:c r="H66" s="22"/>
    </x:row>
    <x:row r="67">
      <x:c r="A67" s="22"/>
      <x:c r="B67" s="28"/>
      <x:c r="C67" s="22"/>
      <x:c r="D67" s="24"/>
      <x:c r="E67" s="24"/>
      <x:c r="F67" s="22"/>
      <x:c r="G67" s="22"/>
      <x:c r="H67" s="22"/>
    </x:row>
    <x:row r="68">
      <x:c r="A68" s="22"/>
      <x:c r="B68" s="28"/>
      <x:c r="C68" s="22"/>
      <x:c r="D68" s="24"/>
      <x:c r="E68" s="24"/>
      <x:c r="F68" s="22"/>
      <x:c r="G68" s="22"/>
      <x:c r="H68" s="22"/>
    </x:row>
    <x:row r="69">
      <x:c r="A69" s="22"/>
      <x:c r="B69" s="28"/>
      <x:c r="C69" s="22"/>
      <x:c r="D69" s="24"/>
      <x:c r="E69" s="24"/>
      <x:c r="F69" s="22"/>
      <x:c r="G69" s="22"/>
      <x:c r="H69" s="22"/>
    </x:row>
    <x:row r="70">
      <x:c r="A70" s="22"/>
      <x:c r="B70" s="28"/>
      <x:c r="C70" s="22"/>
      <x:c r="D70" s="24"/>
      <x:c r="E70" s="24"/>
      <x:c r="F70" s="22"/>
      <x:c r="G70" s="22"/>
      <x:c r="H70" s="22"/>
    </x:row>
    <x:row r="71">
      <x:c r="A71" s="22"/>
      <x:c r="B71" s="28"/>
      <x:c r="C71" s="22"/>
      <x:c r="D71" s="24"/>
      <x:c r="E71" s="24"/>
      <x:c r="F71" s="22"/>
      <x:c r="G71" s="22"/>
      <x:c r="H71" s="22"/>
    </x:row>
    <x:row r="72">
      <x:c r="A72" s="22"/>
      <x:c r="B72" s="28"/>
      <x:c r="C72" s="22"/>
      <x:c r="D72" s="24"/>
      <x:c r="E72" s="24"/>
      <x:c r="F72" s="22"/>
      <x:c r="G72" s="22"/>
      <x:c r="H72" s="22"/>
    </x:row>
    <x:row r="73">
      <x:c r="A73" s="22"/>
      <x:c r="B73" s="28"/>
      <x:c r="C73" s="22"/>
      <x:c r="D73" s="24"/>
      <x:c r="E73" s="24"/>
      <x:c r="F73" s="22"/>
      <x:c r="G73" s="22"/>
      <x:c r="H73" s="22"/>
    </x:row>
    <x:row r="74">
      <x:c r="A74" s="22"/>
      <x:c r="B74" s="28"/>
      <x:c r="C74" s="22"/>
      <x:c r="D74" s="24"/>
      <x:c r="E74" s="24"/>
      <x:c r="F74" s="22"/>
      <x:c r="G74" s="22"/>
      <x:c r="H74" s="22"/>
    </x:row>
    <x:row r="75">
      <x:c r="A75" s="22"/>
      <x:c r="B75" s="28"/>
      <x:c r="C75" s="22"/>
      <x:c r="D75" s="24"/>
      <x:c r="E75" s="24"/>
      <x:c r="F75" s="22"/>
      <x:c r="G75" s="22"/>
      <x:c r="H75" s="22"/>
    </x:row>
    <x:row r="76">
      <x:c r="A76" s="22"/>
      <x:c r="B76" s="28"/>
      <x:c r="C76" s="22"/>
      <x:c r="D76" s="24"/>
      <x:c r="E76" s="24"/>
      <x:c r="F76" s="22"/>
      <x:c r="G76" s="22"/>
      <x:c r="H76" s="22"/>
    </x:row>
    <x:row r="77">
      <x:c r="A77" s="22"/>
      <x:c r="B77" s="28"/>
      <x:c r="C77" s="22"/>
      <x:c r="D77" s="24"/>
      <x:c r="E77" s="24"/>
      <x:c r="F77" s="22"/>
      <x:c r="G77" s="22"/>
      <x:c r="H77" s="22"/>
    </x:row>
    <x:row r="78">
      <x:c r="A78" s="22"/>
      <x:c r="B78" s="28"/>
      <x:c r="C78" s="22"/>
      <x:c r="D78" s="24"/>
      <x:c r="E78" s="24"/>
      <x:c r="F78" s="22"/>
      <x:c r="G78" s="22"/>
      <x:c r="H78" s="22"/>
    </x:row>
    <x:row r="79">
      <x:c r="A79" s="22"/>
      <x:c r="B79" s="28"/>
      <x:c r="C79" s="22"/>
      <x:c r="D79" s="24"/>
      <x:c r="E79" s="24"/>
      <x:c r="F79" s="22"/>
      <x:c r="G79" s="22"/>
      <x:c r="H79" s="22"/>
    </x:row>
    <x:row r="80">
      <x:c r="A80" s="22"/>
      <x:c r="B80" s="28"/>
      <x:c r="C80" s="22"/>
      <x:c r="D80" s="24"/>
      <x:c r="E80" s="24"/>
      <x:c r="F80" s="22"/>
      <x:c r="G80" s="22"/>
      <x:c r="H80" s="22"/>
    </x:row>
    <x:row r="81">
      <x:c r="A81" s="22"/>
      <x:c r="B81" s="28"/>
      <x:c r="C81" s="22"/>
      <x:c r="D81" s="24"/>
      <x:c r="E81" s="24"/>
      <x:c r="F81" s="22"/>
      <x:c r="G81" s="22"/>
      <x:c r="H81" s="22"/>
    </x:row>
    <x:row r="82">
      <x:c r="A82" s="22"/>
      <x:c r="B82" s="28"/>
      <x:c r="C82" s="22"/>
      <x:c r="D82" s="24"/>
      <x:c r="E82" s="24"/>
      <x:c r="F82" s="22"/>
      <x:c r="G82" s="22"/>
      <x:c r="H82" s="22"/>
    </x:row>
    <x:row r="83">
      <x:c r="A83" s="22"/>
      <x:c r="B83" s="28"/>
      <x:c r="C83" s="22"/>
      <x:c r="D83" s="24"/>
      <x:c r="E83" s="24"/>
      <x:c r="F83" s="22"/>
      <x:c r="G83" s="22"/>
      <x:c r="H83" s="22"/>
    </x:row>
    <x:row r="84">
      <x:c r="A84" s="22"/>
      <x:c r="B84" s="28"/>
      <x:c r="C84" s="22"/>
      <x:c r="D84" s="24"/>
      <x:c r="E84" s="24"/>
      <x:c r="F84" s="22"/>
      <x:c r="G84" s="22"/>
      <x:c r="H84" s="22"/>
    </x:row>
    <x:row r="85">
      <x:c r="A85" s="22"/>
      <x:c r="B85" s="28"/>
      <x:c r="C85" s="22"/>
      <x:c r="D85" s="24"/>
      <x:c r="E85" s="24"/>
      <x:c r="F85" s="22"/>
      <x:c r="G85" s="22"/>
      <x:c r="H85" s="22"/>
    </x:row>
    <x:row r="86">
      <x:c r="A86" s="22"/>
      <x:c r="B86" s="28"/>
      <x:c r="C86" s="22"/>
      <x:c r="D86" s="24"/>
      <x:c r="E86" s="24"/>
      <x:c r="F86" s="22"/>
      <x:c r="G86" s="22"/>
      <x:c r="H86" s="22"/>
    </x:row>
    <x:row r="87">
      <x:c r="A87" s="22"/>
      <x:c r="B87" s="28"/>
      <x:c r="C87" s="22"/>
      <x:c r="D87" s="24"/>
      <x:c r="E87" s="24"/>
      <x:c r="F87" s="22"/>
      <x:c r="G87" s="22"/>
      <x:c r="H87" s="22"/>
    </x:row>
    <x:row r="88">
      <x:c r="A88" s="22"/>
      <x:c r="B88" s="28"/>
      <x:c r="C88" s="22"/>
      <x:c r="D88" s="24"/>
      <x:c r="E88" s="24"/>
      <x:c r="F88" s="22"/>
      <x:c r="G88" s="22"/>
      <x:c r="H88" s="22"/>
    </x:row>
    <x:row r="89">
      <x:c r="A89" s="22"/>
      <x:c r="B89" s="28"/>
      <x:c r="C89" s="22"/>
      <x:c r="D89" s="24"/>
      <x:c r="E89" s="24"/>
      <x:c r="F89" s="22"/>
      <x:c r="G89" s="22"/>
      <x:c r="H89" s="22"/>
    </x:row>
    <x:row r="90">
      <x:c r="A90" s="22"/>
      <x:c r="B90" s="28"/>
      <x:c r="C90" s="22"/>
      <x:c r="D90" s="24"/>
      <x:c r="E90" s="24"/>
      <x:c r="F90" s="22"/>
      <x:c r="G90" s="22"/>
      <x:c r="H90" s="22"/>
    </x:row>
    <x:row r="91">
      <x:c r="A91" s="22"/>
      <x:c r="B91" s="28"/>
      <x:c r="C91" s="22"/>
      <x:c r="D91" s="24"/>
      <x:c r="E91" s="24"/>
      <x:c r="F91" s="22"/>
      <x:c r="G91" s="22"/>
      <x:c r="H91" s="22"/>
    </x:row>
    <x:row r="92">
      <x:c r="A92" s="22"/>
      <x:c r="B92" s="28"/>
      <x:c r="C92" s="22"/>
      <x:c r="D92" s="24"/>
      <x:c r="E92" s="24"/>
      <x:c r="F92" s="22"/>
      <x:c r="G92" s="22"/>
      <x:c r="H92" s="22"/>
    </x:row>
    <x:row r="93">
      <x:c r="A93" s="22"/>
      <x:c r="B93" s="28"/>
      <x:c r="C93" s="22"/>
      <x:c r="D93" s="24"/>
      <x:c r="E93" s="24"/>
      <x:c r="F93" s="22"/>
      <x:c r="G93" s="22"/>
      <x:c r="H93" s="22"/>
    </x:row>
    <x:row r="94">
      <x:c r="A94" s="22"/>
      <x:c r="B94" s="28"/>
      <x:c r="C94" s="22"/>
      <x:c r="D94" s="24"/>
      <x:c r="E94" s="24"/>
      <x:c r="F94" s="22"/>
      <x:c r="G94" s="22"/>
      <x:c r="H94" s="22"/>
    </x:row>
    <x:row r="95">
      <x:c r="A95" s="22"/>
      <x:c r="B95" s="28"/>
      <x:c r="C95" s="22"/>
      <x:c r="D95" s="24"/>
      <x:c r="E95" s="24"/>
      <x:c r="F95" s="22"/>
      <x:c r="G95" s="22"/>
      <x:c r="H95" s="22"/>
    </x:row>
    <x:row r="96">
      <x:c r="A96" s="22"/>
      <x:c r="B96" s="28"/>
      <x:c r="C96" s="22"/>
      <x:c r="D96" s="24"/>
      <x:c r="E96" s="24"/>
      <x:c r="F96" s="22"/>
      <x:c r="G96" s="22"/>
      <x:c r="H96" s="22"/>
    </x:row>
    <x:row r="97">
      <x:c r="A97" s="22"/>
      <x:c r="B97" s="28"/>
      <x:c r="C97" s="22"/>
      <x:c r="D97" s="24"/>
      <x:c r="E97" s="24"/>
      <x:c r="F97" s="22"/>
      <x:c r="G97" s="22"/>
      <x:c r="H97" s="22"/>
    </x:row>
    <x:row r="98">
      <x:c r="A98" s="22"/>
      <x:c r="B98" s="28"/>
      <x:c r="C98" s="22"/>
      <x:c r="D98" s="24"/>
      <x:c r="E98" s="24"/>
      <x:c r="F98" s="22"/>
      <x:c r="G98" s="22"/>
      <x:c r="H98" s="22"/>
    </x:row>
    <x:row r="99">
      <x:c r="A99" s="22"/>
      <x:c r="B99" s="28"/>
      <x:c r="C99" s="22"/>
      <x:c r="D99" s="24"/>
      <x:c r="E99" s="24"/>
      <x:c r="F99" s="22"/>
      <x:c r="G99" s="22"/>
      <x:c r="H99" s="22"/>
    </x:row>
    <x:row r="100">
      <x:c r="A100" s="22"/>
      <x:c r="B100" s="28"/>
      <x:c r="C100" s="22"/>
      <x:c r="D100" s="24"/>
      <x:c r="E100" s="24"/>
      <x:c r="F100" s="22"/>
      <x:c r="G100" s="22"/>
      <x:c r="H100" s="22"/>
    </x:row>
    <x:row r="101">
      <x:c r="A101" s="22"/>
      <x:c r="B101" s="28"/>
      <x:c r="C101" s="22"/>
      <x:c r="D101" s="24"/>
      <x:c r="E101" s="24"/>
      <x:c r="F101" s="22"/>
      <x:c r="G101" s="22"/>
      <x:c r="H101" s="22"/>
    </x:row>
    <x:row r="102">
      <x:c r="A102" s="22"/>
      <x:c r="B102" s="28"/>
      <x:c r="C102" s="22"/>
      <x:c r="D102" s="24"/>
      <x:c r="E102" s="24"/>
      <x:c r="F102" s="22"/>
      <x:c r="G102" s="22"/>
      <x:c r="H102" s="22"/>
    </x:row>
    <x:row r="103">
      <x:c r="A103" s="22"/>
      <x:c r="B103" s="28"/>
      <x:c r="C103" s="22"/>
      <x:c r="D103" s="24"/>
      <x:c r="E103" s="24"/>
      <x:c r="F103" s="22"/>
      <x:c r="G103" s="22"/>
      <x:c r="H103" s="22"/>
    </x:row>
    <x:row r="104">
      <x:c r="A104" s="22"/>
      <x:c r="B104" s="28"/>
      <x:c r="C104" s="22"/>
      <x:c r="D104" s="24"/>
      <x:c r="E104" s="24"/>
      <x:c r="F104" s="22"/>
      <x:c r="G104" s="22"/>
      <x:c r="H104" s="22"/>
    </x:row>
    <x:row r="105">
      <x:c r="A105" s="22"/>
      <x:c r="B105" s="28"/>
      <x:c r="C105" s="22"/>
      <x:c r="D105" s="24"/>
      <x:c r="E105" s="24"/>
      <x:c r="F105" s="22"/>
      <x:c r="G105" s="22"/>
      <x:c r="H105" s="22"/>
    </x:row>
    <x:row r="106">
      <x:c r="A106" s="22"/>
      <x:c r="B106" s="28"/>
      <x:c r="C106" s="22"/>
      <x:c r="D106" s="24"/>
      <x:c r="E106" s="24"/>
      <x:c r="F106" s="22"/>
      <x:c r="G106" s="22"/>
      <x:c r="H106" s="22"/>
    </x:row>
    <x:row r="107">
      <x:c r="A107" s="22"/>
      <x:c r="B107" s="28"/>
      <x:c r="C107" s="22"/>
      <x:c r="D107" s="24"/>
      <x:c r="E107" s="24"/>
      <x:c r="F107" s="22"/>
      <x:c r="G107" s="22"/>
      <x:c r="H107" s="22"/>
    </x:row>
    <x:row r="108">
      <x:c r="A108" s="22"/>
      <x:c r="B108" s="28"/>
      <x:c r="C108" s="22"/>
      <x:c r="D108" s="24"/>
      <x:c r="E108" s="24"/>
      <x:c r="F108" s="22"/>
      <x:c r="G108" s="22"/>
      <x:c r="H108" s="22"/>
    </x:row>
    <x:row r="109">
      <x:c r="A109" s="22"/>
      <x:c r="B109" s="28"/>
      <x:c r="C109" s="22"/>
      <x:c r="D109" s="24"/>
      <x:c r="E109" s="24"/>
      <x:c r="F109" s="22"/>
      <x:c r="G109" s="22"/>
      <x:c r="H109" s="22"/>
    </x:row>
    <x:row r="110">
      <x:c r="A110" s="22"/>
      <x:c r="B110" s="28"/>
      <x:c r="C110" s="22"/>
      <x:c r="D110" s="24"/>
      <x:c r="E110" s="24"/>
      <x:c r="F110" s="22"/>
      <x:c r="G110" s="22"/>
      <x:c r="H110" s="22"/>
    </x:row>
    <x:row r="111">
      <x:c r="A111" s="22"/>
      <x:c r="B111" s="28"/>
      <x:c r="C111" s="22"/>
      <x:c r="D111" s="24"/>
      <x:c r="E111" s="24"/>
      <x:c r="F111" s="22"/>
      <x:c r="G111" s="22"/>
      <x:c r="H111" s="22"/>
    </x:row>
    <x:row r="112">
      <x:c r="A112" s="22"/>
      <x:c r="B112" s="28"/>
      <x:c r="C112" s="22"/>
      <x:c r="D112" s="24"/>
      <x:c r="E112" s="24"/>
      <x:c r="F112" s="22"/>
      <x:c r="G112" s="22"/>
      <x:c r="H112" s="22"/>
    </x:row>
    <x:row r="113">
      <x:c r="A113" s="22"/>
      <x:c r="B113" s="28"/>
      <x:c r="C113" s="22"/>
      <x:c r="D113" s="24"/>
      <x:c r="E113" s="24"/>
      <x:c r="F113" s="22"/>
      <x:c r="G113" s="22"/>
      <x:c r="H113" s="22"/>
    </x:row>
    <x:row r="114">
      <x:c r="A114" s="22"/>
      <x:c r="B114" s="28"/>
      <x:c r="C114" s="22"/>
      <x:c r="D114" s="24"/>
      <x:c r="E114" s="24"/>
      <x:c r="F114" s="22"/>
      <x:c r="G114" s="22"/>
      <x:c r="H114" s="22"/>
    </x:row>
    <x:row r="115">
      <x:c r="A115" s="22"/>
      <x:c r="B115" s="28"/>
      <x:c r="C115" s="22"/>
      <x:c r="D115" s="24"/>
      <x:c r="E115" s="24"/>
      <x:c r="F115" s="22"/>
      <x:c r="G115" s="22"/>
      <x:c r="H115" s="22"/>
    </x:row>
    <x:row r="116">
      <x:c r="A116" s="22"/>
      <x:c r="B116" s="28"/>
      <x:c r="C116" s="22"/>
      <x:c r="D116" s="24"/>
      <x:c r="E116" s="24"/>
      <x:c r="F116" s="22"/>
      <x:c r="G116" s="22"/>
      <x:c r="H116" s="22"/>
    </x:row>
    <x:row r="117">
      <x:c r="A117" s="22"/>
      <x:c r="B117" s="28"/>
      <x:c r="C117" s="22"/>
      <x:c r="D117" s="24"/>
      <x:c r="E117" s="24"/>
      <x:c r="F117" s="22"/>
      <x:c r="G117" s="22"/>
      <x:c r="H117" s="22"/>
    </x:row>
    <x:row r="118">
      <x:c r="A118" s="22"/>
      <x:c r="B118" s="28"/>
      <x:c r="C118" s="22"/>
      <x:c r="D118" s="24"/>
      <x:c r="E118" s="24"/>
      <x:c r="F118" s="22"/>
      <x:c r="G118" s="22"/>
      <x:c r="H118" s="22"/>
    </x:row>
    <x:row r="119">
      <x:c r="A119" s="22"/>
      <x:c r="B119" s="28"/>
      <x:c r="C119" s="22"/>
      <x:c r="D119" s="24"/>
      <x:c r="E119" s="24"/>
      <x:c r="F119" s="22"/>
      <x:c r="G119" s="22"/>
      <x:c r="H119" s="22"/>
    </x:row>
    <x:row r="120">
      <x:c r="A120" s="22"/>
      <x:c r="B120" s="28"/>
      <x:c r="C120" s="22"/>
      <x:c r="D120" s="24"/>
      <x:c r="E120" s="24"/>
      <x:c r="F120" s="22"/>
      <x:c r="G120" s="22"/>
      <x:c r="H120" s="22"/>
    </x:row>
    <x:row r="121">
      <x:c r="A121" s="22"/>
      <x:c r="B121" s="28"/>
      <x:c r="C121" s="22"/>
      <x:c r="D121" s="24"/>
      <x:c r="E121" s="24"/>
      <x:c r="F121" s="22"/>
      <x:c r="G121" s="22"/>
      <x:c r="H121" s="22"/>
    </x:row>
    <x:row r="122">
      <x:c r="A122" s="22"/>
      <x:c r="B122" s="28"/>
      <x:c r="C122" s="22"/>
      <x:c r="D122" s="24"/>
      <x:c r="E122" s="24"/>
      <x:c r="F122" s="22"/>
      <x:c r="G122" s="22"/>
      <x:c r="H122" s="22"/>
    </x:row>
    <x:row r="123">
      <x:c r="A123" s="22"/>
      <x:c r="B123" s="28"/>
      <x:c r="C123" s="22"/>
      <x:c r="D123" s="24"/>
      <x:c r="E123" s="24"/>
      <x:c r="F123" s="22"/>
      <x:c r="G123" s="22"/>
      <x:c r="H123" s="22"/>
    </x:row>
    <x:row r="124">
      <x:c r="A124" s="22"/>
      <x:c r="B124" s="28"/>
      <x:c r="C124" s="22"/>
      <x:c r="D124" s="24"/>
      <x:c r="E124" s="24"/>
      <x:c r="F124" s="22"/>
      <x:c r="G124" s="22"/>
      <x:c r="H124" s="22"/>
    </x:row>
    <x:row r="125">
      <x:c r="A125" s="22"/>
      <x:c r="B125" s="28"/>
      <x:c r="C125" s="22"/>
      <x:c r="D125" s="24"/>
      <x:c r="E125" s="24"/>
      <x:c r="F125" s="22"/>
      <x:c r="G125" s="22"/>
      <x:c r="H125" s="22"/>
    </x:row>
    <x:row r="126">
      <x:c r="A126" s="22"/>
      <x:c r="B126" s="28"/>
      <x:c r="C126" s="22"/>
      <x:c r="D126" s="24"/>
      <x:c r="E126" s="24"/>
      <x:c r="F126" s="22"/>
      <x:c r="G126" s="22"/>
      <x:c r="H126" s="22"/>
    </x:row>
    <x:row r="127">
      <x:c r="A127" s="22"/>
      <x:c r="B127" s="28"/>
      <x:c r="C127" s="22"/>
      <x:c r="D127" s="24"/>
      <x:c r="E127" s="24"/>
      <x:c r="F127" s="22"/>
      <x:c r="G127" s="22"/>
      <x:c r="H127" s="22"/>
    </x:row>
    <x:row r="128">
      <x:c r="A128" s="22"/>
      <x:c r="B128" s="28"/>
      <x:c r="C128" s="22"/>
      <x:c r="D128" s="24"/>
      <x:c r="E128" s="24"/>
      <x:c r="F128" s="22"/>
      <x:c r="G128" s="22"/>
      <x:c r="H128" s="22"/>
    </x:row>
    <x:row r="129">
      <x:c r="A129" s="22"/>
      <x:c r="B129" s="28"/>
      <x:c r="C129" s="22"/>
      <x:c r="D129" s="24"/>
      <x:c r="E129" s="24"/>
      <x:c r="F129" s="22"/>
      <x:c r="G129" s="22"/>
      <x:c r="H129" s="22"/>
    </x:row>
    <x:row r="130">
      <x:c r="A130" s="22"/>
      <x:c r="B130" s="28"/>
      <x:c r="C130" s="22"/>
      <x:c r="D130" s="24"/>
      <x:c r="E130" s="24"/>
      <x:c r="F130" s="22"/>
      <x:c r="G130" s="22"/>
      <x:c r="H130" s="22"/>
    </x:row>
    <x:row r="131">
      <x:c r="A131" s="22"/>
      <x:c r="B131" s="28"/>
      <x:c r="C131" s="22"/>
      <x:c r="D131" s="24"/>
      <x:c r="E131" s="24"/>
      <x:c r="F131" s="22"/>
      <x:c r="G131" s="22"/>
      <x:c r="H131" s="22"/>
    </x:row>
    <x:row r="132">
      <x:c r="A132" s="22"/>
      <x:c r="B132" s="28"/>
      <x:c r="C132" s="22"/>
      <x:c r="D132" s="24"/>
      <x:c r="E132" s="24"/>
      <x:c r="F132" s="22"/>
      <x:c r="G132" s="22"/>
      <x:c r="H132" s="22"/>
    </x:row>
    <x:row r="133">
      <x:c r="A133" s="22"/>
      <x:c r="B133" s="28"/>
      <x:c r="C133" s="22"/>
      <x:c r="D133" s="24"/>
      <x:c r="E133" s="24"/>
      <x:c r="F133" s="22"/>
      <x:c r="G133" s="22"/>
      <x:c r="H133" s="22"/>
    </x:row>
    <x:row r="134">
      <x:c r="A134" s="22"/>
      <x:c r="B134" s="28"/>
      <x:c r="C134" s="22"/>
      <x:c r="D134" s="24"/>
      <x:c r="E134" s="24"/>
      <x:c r="F134" s="22"/>
      <x:c r="G134" s="22"/>
      <x:c r="H134" s="22"/>
    </x:row>
    <x:row r="135">
      <x:c r="A135" s="22"/>
      <x:c r="B135" s="28"/>
      <x:c r="C135" s="22"/>
      <x:c r="D135" s="24"/>
      <x:c r="E135" s="24"/>
      <x:c r="F135" s="22"/>
      <x:c r="G135" s="22"/>
      <x:c r="H135" s="22"/>
    </x:row>
    <x:row r="136">
      <x:c r="A136" s="22"/>
      <x:c r="B136" s="28"/>
      <x:c r="C136" s="22"/>
      <x:c r="D136" s="24"/>
      <x:c r="E136" s="24"/>
      <x:c r="F136" s="22"/>
      <x:c r="G136" s="22"/>
      <x:c r="H136" s="22"/>
    </x:row>
    <x:row r="137">
      <x:c r="A137" s="22"/>
      <x:c r="B137" s="28"/>
      <x:c r="C137" s="22"/>
      <x:c r="D137" s="24"/>
      <x:c r="E137" s="24"/>
      <x:c r="F137" s="22"/>
      <x:c r="G137" s="22"/>
      <x:c r="H137" s="22"/>
    </x:row>
    <x:row r="138">
      <x:c r="A138" s="22"/>
      <x:c r="B138" s="28"/>
      <x:c r="C138" s="22"/>
      <x:c r="D138" s="24"/>
      <x:c r="E138" s="24"/>
      <x:c r="F138" s="22"/>
      <x:c r="G138" s="22"/>
      <x:c r="H138" s="22"/>
    </x:row>
    <x:row r="139">
      <x:c r="A139" s="22"/>
      <x:c r="B139" s="28"/>
      <x:c r="C139" s="22"/>
      <x:c r="D139" s="24"/>
      <x:c r="E139" s="24"/>
      <x:c r="F139" s="22"/>
      <x:c r="G139" s="22"/>
      <x:c r="H139" s="22"/>
    </x:row>
    <x:row r="140">
      <x:c r="A140" s="22"/>
      <x:c r="B140" s="28"/>
      <x:c r="C140" s="22"/>
      <x:c r="D140" s="24"/>
      <x:c r="E140" s="24"/>
      <x:c r="F140" s="22"/>
      <x:c r="G140" s="22"/>
      <x:c r="H140" s="22"/>
    </x:row>
    <x:row r="141">
      <x:c r="A141" s="22"/>
      <x:c r="B141" s="28"/>
      <x:c r="C141" s="22"/>
      <x:c r="D141" s="24"/>
      <x:c r="E141" s="24"/>
      <x:c r="F141" s="22"/>
      <x:c r="G141" s="22"/>
      <x:c r="H141" s="22"/>
    </x:row>
    <x:row r="142">
      <x:c r="A142" s="22"/>
      <x:c r="B142" s="28"/>
      <x:c r="C142" s="22"/>
      <x:c r="D142" s="24"/>
      <x:c r="E142" s="24"/>
      <x:c r="F142" s="22"/>
      <x:c r="G142" s="22"/>
      <x:c r="H142" s="22"/>
    </x:row>
    <x:row r="143">
      <x:c r="A143" s="22"/>
      <x:c r="B143" s="28"/>
      <x:c r="C143" s="22"/>
      <x:c r="D143" s="24"/>
      <x:c r="E143" s="24"/>
      <x:c r="F143" s="22"/>
      <x:c r="G143" s="22"/>
      <x:c r="H143" s="22"/>
    </x:row>
    <x:row r="144">
      <x:c r="A144" s="22"/>
      <x:c r="B144" s="28"/>
      <x:c r="C144" s="22"/>
      <x:c r="D144" s="24"/>
      <x:c r="E144" s="24"/>
      <x:c r="F144" s="22"/>
      <x:c r="G144" s="22"/>
      <x:c r="H144" s="22"/>
    </x:row>
    <x:row r="145">
      <x:c r="A145" s="22"/>
      <x:c r="B145" s="28"/>
      <x:c r="C145" s="22"/>
      <x:c r="D145" s="24"/>
      <x:c r="E145" s="24"/>
      <x:c r="F145" s="22"/>
      <x:c r="G145" s="22"/>
      <x:c r="H145" s="22"/>
    </x:row>
    <x:row r="146">
      <x:c r="A146" s="22"/>
      <x:c r="B146" s="28"/>
      <x:c r="C146" s="22"/>
      <x:c r="D146" s="24"/>
      <x:c r="E146" s="24"/>
      <x:c r="F146" s="22"/>
      <x:c r="G146" s="22"/>
      <x:c r="H146" s="22"/>
    </x:row>
    <x:row r="147">
      <x:c r="A147" s="22"/>
      <x:c r="B147" s="28"/>
      <x:c r="C147" s="22"/>
      <x:c r="D147" s="24"/>
      <x:c r="E147" s="24"/>
      <x:c r="F147" s="22"/>
      <x:c r="G147" s="22"/>
      <x:c r="H147" s="22"/>
    </x:row>
    <x:row r="148">
      <x:c r="A148" s="22"/>
      <x:c r="B148" s="28"/>
      <x:c r="C148" s="22"/>
      <x:c r="D148" s="24"/>
      <x:c r="E148" s="24"/>
      <x:c r="F148" s="22"/>
      <x:c r="G148" s="22"/>
      <x:c r="H148" s="22"/>
    </x:row>
    <x:row r="149">
      <x:c r="A149" s="22"/>
      <x:c r="B149" s="28"/>
      <x:c r="C149" s="22"/>
      <x:c r="D149" s="24"/>
      <x:c r="E149" s="24"/>
      <x:c r="F149" s="22"/>
      <x:c r="G149" s="22"/>
      <x:c r="H149" s="22"/>
    </x:row>
    <x:row r="150">
      <x:c r="A150" s="22"/>
      <x:c r="B150" s="28"/>
      <x:c r="C150" s="22"/>
      <x:c r="D150" s="24"/>
      <x:c r="E150" s="24"/>
      <x:c r="F150" s="22"/>
      <x:c r="G150" s="22"/>
      <x:c r="H150" s="22"/>
    </x:row>
    <x:row r="151">
      <x:c r="A151" s="22"/>
      <x:c r="B151" s="28"/>
      <x:c r="C151" s="22"/>
      <x:c r="D151" s="24"/>
      <x:c r="E151" s="24"/>
      <x:c r="F151" s="22"/>
      <x:c r="G151" s="22"/>
      <x:c r="H151" s="22"/>
    </x:row>
    <x:row r="152">
      <x:c r="A152" s="22"/>
      <x:c r="B152" s="28"/>
      <x:c r="C152" s="22"/>
      <x:c r="D152" s="24"/>
      <x:c r="E152" s="24"/>
      <x:c r="F152" s="22"/>
      <x:c r="G152" s="22"/>
      <x:c r="H152" s="22"/>
    </x:row>
    <x:row r="153">
      <x:c r="A153" s="22"/>
      <x:c r="B153" s="28"/>
      <x:c r="C153" s="22"/>
      <x:c r="D153" s="24"/>
      <x:c r="E153" s="24"/>
      <x:c r="F153" s="22"/>
      <x:c r="G153" s="22"/>
      <x:c r="H153" s="22"/>
    </x:row>
    <x:row r="154">
      <x:c r="A154" s="22"/>
      <x:c r="B154" s="28"/>
      <x:c r="C154" s="22"/>
      <x:c r="D154" s="24"/>
      <x:c r="E154" s="24"/>
      <x:c r="F154" s="22"/>
      <x:c r="G154" s="22"/>
      <x:c r="H154" s="22"/>
    </x:row>
    <x:row r="155">
      <x:c r="A155" s="22"/>
      <x:c r="B155" s="28"/>
      <x:c r="C155" s="22"/>
      <x:c r="D155" s="24"/>
      <x:c r="E155" s="24"/>
      <x:c r="F155" s="22"/>
      <x:c r="G155" s="22"/>
      <x:c r="H155" s="22"/>
    </x:row>
    <x:row r="156">
      <x:c r="A156" s="22"/>
      <x:c r="B156" s="28"/>
      <x:c r="C156" s="22"/>
      <x:c r="D156" s="24"/>
      <x:c r="E156" s="24"/>
      <x:c r="F156" s="22"/>
      <x:c r="G156" s="22"/>
      <x:c r="H156" s="22"/>
    </x:row>
    <x:row r="157">
      <x:c r="A157" s="22"/>
      <x:c r="B157" s="28"/>
      <x:c r="C157" s="22"/>
      <x:c r="D157" s="24"/>
      <x:c r="E157" s="24"/>
      <x:c r="F157" s="22"/>
      <x:c r="G157" s="22"/>
      <x:c r="H157" s="22"/>
    </x:row>
    <x:row r="158">
      <x:c r="A158" s="22"/>
      <x:c r="B158" s="28"/>
      <x:c r="C158" s="22"/>
      <x:c r="D158" s="24"/>
      <x:c r="E158" s="24"/>
      <x:c r="F158" s="22"/>
      <x:c r="G158" s="22"/>
      <x:c r="H158" s="22"/>
    </x:row>
    <x:row r="159">
      <x:c r="A159" s="22"/>
      <x:c r="B159" s="28"/>
      <x:c r="C159" s="22"/>
      <x:c r="D159" s="24"/>
      <x:c r="E159" s="24"/>
      <x:c r="F159" s="22"/>
      <x:c r="G159" s="22"/>
      <x:c r="H159" s="22"/>
    </x:row>
    <x:row r="160">
      <x:c r="A160" s="22"/>
      <x:c r="B160" s="28"/>
      <x:c r="C160" s="22"/>
      <x:c r="D160" s="24"/>
      <x:c r="E160" s="24"/>
      <x:c r="F160" s="22"/>
      <x:c r="G160" s="22"/>
      <x:c r="H160" s="22"/>
    </x:row>
    <x:row r="161">
      <x:c r="A161" s="22"/>
      <x:c r="B161" s="28"/>
      <x:c r="C161" s="22"/>
      <x:c r="D161" s="24"/>
      <x:c r="E161" s="24"/>
      <x:c r="F161" s="22"/>
      <x:c r="G161" s="22"/>
      <x:c r="H161" s="22"/>
    </x:row>
    <x:row r="162">
      <x:c r="A162" s="22"/>
      <x:c r="B162" s="28"/>
      <x:c r="C162" s="22"/>
      <x:c r="D162" s="24"/>
      <x:c r="E162" s="24"/>
      <x:c r="F162" s="22"/>
      <x:c r="G162" s="22"/>
      <x:c r="H162" s="22"/>
    </x:row>
    <x:row r="163">
      <x:c r="A163" s="22"/>
      <x:c r="B163" s="28"/>
      <x:c r="C163" s="22"/>
      <x:c r="D163" s="24"/>
      <x:c r="E163" s="24"/>
      <x:c r="F163" s="22"/>
      <x:c r="G163" s="22"/>
      <x:c r="H163" s="22"/>
    </x:row>
    <x:row r="164">
      <x:c r="A164" s="22"/>
      <x:c r="B164" s="28"/>
      <x:c r="C164" s="22"/>
      <x:c r="D164" s="24"/>
      <x:c r="E164" s="24"/>
      <x:c r="F164" s="22"/>
      <x:c r="G164" s="22"/>
      <x:c r="H164" s="22"/>
    </x:row>
    <x:row r="165">
      <x:c r="A165" s="22"/>
      <x:c r="B165" s="28"/>
      <x:c r="C165" s="22"/>
      <x:c r="D165" s="24"/>
      <x:c r="E165" s="24"/>
      <x:c r="F165" s="22"/>
      <x:c r="G165" s="22"/>
      <x:c r="H165" s="22"/>
    </x:row>
    <x:row r="166">
      <x:c r="A166" s="22"/>
      <x:c r="B166" s="28"/>
      <x:c r="C166" s="22"/>
      <x:c r="D166" s="24"/>
      <x:c r="E166" s="24"/>
      <x:c r="F166" s="22"/>
      <x:c r="G166" s="22"/>
      <x:c r="H166" s="22"/>
    </x:row>
    <x:row r="167">
      <x:c r="A167" s="22"/>
      <x:c r="B167" s="28"/>
      <x:c r="C167" s="22"/>
      <x:c r="D167" s="24"/>
      <x:c r="E167" s="24"/>
      <x:c r="F167" s="22"/>
      <x:c r="G167" s="22"/>
      <x:c r="H167" s="22"/>
    </x:row>
    <x:row r="168">
      <x:c r="A168" s="22"/>
      <x:c r="B168" s="28"/>
      <x:c r="C168" s="22"/>
      <x:c r="D168" s="24"/>
      <x:c r="E168" s="24"/>
      <x:c r="F168" s="22"/>
      <x:c r="G168" s="22"/>
      <x:c r="H168" s="22"/>
    </x:row>
    <x:row r="169">
      <x:c r="A169" s="22"/>
      <x:c r="B169" s="28"/>
      <x:c r="C169" s="22"/>
      <x:c r="D169" s="24"/>
      <x:c r="E169" s="24"/>
      <x:c r="F169" s="22"/>
      <x:c r="G169" s="22"/>
      <x:c r="H169" s="22"/>
    </x:row>
    <x:row r="170">
      <x:c r="A170" s="22"/>
      <x:c r="B170" s="28"/>
      <x:c r="C170" s="22"/>
      <x:c r="D170" s="24"/>
      <x:c r="E170" s="24"/>
      <x:c r="F170" s="22"/>
      <x:c r="G170" s="22"/>
      <x:c r="H170" s="22"/>
    </x:row>
    <x:row r="171">
      <x:c r="A171" s="22"/>
      <x:c r="B171" s="28"/>
      <x:c r="C171" s="22"/>
      <x:c r="D171" s="24"/>
      <x:c r="E171" s="24"/>
      <x:c r="F171" s="22"/>
      <x:c r="G171" s="22"/>
      <x:c r="H171" s="22"/>
    </x:row>
    <x:row r="172">
      <x:c r="A172" s="22"/>
      <x:c r="B172" s="28"/>
      <x:c r="C172" s="22"/>
      <x:c r="D172" s="24"/>
      <x:c r="E172" s="24"/>
      <x:c r="F172" s="22"/>
      <x:c r="G172" s="22"/>
      <x:c r="H172" s="22"/>
    </x:row>
    <x:row r="173">
      <x:c r="A173" s="22"/>
      <x:c r="B173" s="28"/>
      <x:c r="C173" s="22"/>
      <x:c r="D173" s="24"/>
      <x:c r="E173" s="24"/>
      <x:c r="F173" s="22"/>
      <x:c r="G173" s="22"/>
      <x:c r="H173" s="22"/>
    </x:row>
    <x:row r="174">
      <x:c r="A174" s="22"/>
      <x:c r="B174" s="28"/>
      <x:c r="C174" s="22"/>
      <x:c r="D174" s="24"/>
      <x:c r="E174" s="24"/>
      <x:c r="F174" s="22"/>
      <x:c r="G174" s="22"/>
      <x:c r="H174" s="22"/>
    </x:row>
    <x:row r="175">
      <x:c r="A175" s="22"/>
      <x:c r="B175" s="28"/>
      <x:c r="C175" s="22"/>
      <x:c r="D175" s="24"/>
      <x:c r="E175" s="24"/>
      <x:c r="F175" s="22"/>
      <x:c r="G175" s="22"/>
      <x:c r="H175" s="22"/>
    </x:row>
    <x:row r="176">
      <x:c r="A176" s="22"/>
      <x:c r="B176" s="28"/>
      <x:c r="C176" s="22"/>
      <x:c r="D176" s="24"/>
      <x:c r="E176" s="24"/>
      <x:c r="F176" s="22"/>
      <x:c r="G176" s="22"/>
      <x:c r="H176" s="22"/>
    </x:row>
    <x:row r="177">
      <x:c r="A177" s="22"/>
      <x:c r="B177" s="28"/>
      <x:c r="C177" s="22"/>
      <x:c r="D177" s="24"/>
      <x:c r="E177" s="24"/>
      <x:c r="F177" s="22"/>
      <x:c r="G177" s="22"/>
      <x:c r="H177" s="22"/>
    </x:row>
    <x:row r="178">
      <x:c r="A178" s="22"/>
      <x:c r="B178" s="28"/>
      <x:c r="C178" s="22"/>
      <x:c r="D178" s="24"/>
      <x:c r="E178" s="24"/>
      <x:c r="F178" s="22"/>
      <x:c r="G178" s="22"/>
      <x:c r="H178" s="22"/>
    </x:row>
    <x:row r="179">
      <x:c r="A179" s="22"/>
      <x:c r="B179" s="28"/>
      <x:c r="C179" s="22"/>
      <x:c r="D179" s="24"/>
      <x:c r="E179" s="24"/>
      <x:c r="F179" s="22"/>
      <x:c r="G179" s="22"/>
      <x:c r="H179" s="22"/>
    </x:row>
    <x:row r="180">
      <x:c r="A180" s="22"/>
      <x:c r="B180" s="28"/>
      <x:c r="C180" s="22"/>
      <x:c r="D180" s="24"/>
      <x:c r="E180" s="24"/>
      <x:c r="F180" s="22"/>
      <x:c r="G180" s="22"/>
      <x:c r="H180" s="22"/>
    </x:row>
    <x:row r="181">
      <x:c r="A181" s="22"/>
      <x:c r="B181" s="28"/>
      <x:c r="C181" s="22"/>
      <x:c r="D181" s="24"/>
      <x:c r="E181" s="24"/>
      <x:c r="F181" s="22"/>
      <x:c r="G181" s="22"/>
      <x:c r="H181" s="22"/>
    </x:row>
    <x:row r="182">
      <x:c r="A182" s="22"/>
      <x:c r="B182" s="28"/>
      <x:c r="C182" s="22"/>
      <x:c r="D182" s="24"/>
      <x:c r="E182" s="24"/>
      <x:c r="F182" s="22"/>
      <x:c r="G182" s="22"/>
      <x:c r="H182" s="22"/>
    </x:row>
    <x:row r="183">
      <x:c r="A183" s="22"/>
      <x:c r="B183" s="28"/>
      <x:c r="C183" s="22"/>
      <x:c r="D183" s="24"/>
      <x:c r="E183" s="24"/>
      <x:c r="F183" s="22"/>
      <x:c r="G183" s="22"/>
      <x:c r="H183" s="22"/>
    </x:row>
    <x:row r="184">
      <x:c r="A184" s="22"/>
      <x:c r="B184" s="28"/>
      <x:c r="C184" s="22"/>
      <x:c r="D184" s="24"/>
      <x:c r="E184" s="24"/>
      <x:c r="F184" s="22"/>
      <x:c r="G184" s="22"/>
      <x:c r="H184" s="22"/>
    </x:row>
    <x:row r="185">
      <x:c r="A185" s="22"/>
      <x:c r="B185" s="28"/>
      <x:c r="C185" s="22"/>
      <x:c r="D185" s="24"/>
      <x:c r="E185" s="24"/>
      <x:c r="F185" s="22"/>
      <x:c r="G185" s="22"/>
      <x:c r="H185" s="22"/>
    </x:row>
    <x:row r="186">
      <x:c r="A186" s="22"/>
      <x:c r="B186" s="28"/>
      <x:c r="C186" s="22"/>
      <x:c r="D186" s="24"/>
      <x:c r="E186" s="24"/>
      <x:c r="F186" s="22"/>
      <x:c r="G186" s="22"/>
      <x:c r="H186" s="22"/>
    </x:row>
    <x:row r="187">
      <x:c r="A187" s="22"/>
      <x:c r="B187" s="28"/>
      <x:c r="C187" s="22"/>
      <x:c r="D187" s="24"/>
      <x:c r="E187" s="24"/>
      <x:c r="F187" s="22"/>
      <x:c r="G187" s="22"/>
      <x:c r="H187" s="22"/>
    </x:row>
    <x:row r="188">
      <x:c r="A188" s="22"/>
      <x:c r="B188" s="28"/>
      <x:c r="C188" s="22"/>
      <x:c r="D188" s="24"/>
      <x:c r="E188" s="24"/>
      <x:c r="F188" s="22"/>
      <x:c r="G188" s="22"/>
      <x:c r="H188" s="22"/>
    </x:row>
    <x:row r="189">
      <x:c r="A189" s="22"/>
      <x:c r="B189" s="28"/>
      <x:c r="C189" s="22"/>
      <x:c r="D189" s="24"/>
      <x:c r="E189" s="24"/>
      <x:c r="F189" s="22"/>
      <x:c r="G189" s="22"/>
      <x:c r="H189" s="22"/>
    </x:row>
    <x:row r="190">
      <x:c r="A190" s="22"/>
      <x:c r="B190" s="28"/>
      <x:c r="C190" s="22"/>
      <x:c r="D190" s="24"/>
      <x:c r="E190" s="24"/>
      <x:c r="F190" s="22"/>
      <x:c r="G190" s="22"/>
      <x:c r="H190" s="22"/>
    </x:row>
    <x:row r="191">
      <x:c r="A191" s="22"/>
      <x:c r="B191" s="28"/>
      <x:c r="C191" s="22"/>
      <x:c r="D191" s="24"/>
      <x:c r="E191" s="24"/>
      <x:c r="F191" s="22"/>
      <x:c r="G191" s="22"/>
      <x:c r="H191" s="22"/>
    </x:row>
    <x:row r="192">
      <x:c r="A192" s="22"/>
      <x:c r="B192" s="28"/>
      <x:c r="C192" s="22"/>
      <x:c r="D192" s="24"/>
      <x:c r="E192" s="24"/>
      <x:c r="F192" s="22"/>
      <x:c r="G192" s="22"/>
      <x:c r="H192" s="22"/>
    </x:row>
    <x:row r="193">
      <x:c r="A193" s="22"/>
      <x:c r="B193" s="28"/>
      <x:c r="C193" s="22"/>
      <x:c r="D193" s="24"/>
      <x:c r="E193" s="24"/>
      <x:c r="F193" s="22"/>
      <x:c r="G193" s="22"/>
      <x:c r="H193" s="22"/>
    </x:row>
    <x:row r="194">
      <x:c r="A194" s="22"/>
      <x:c r="B194" s="28"/>
      <x:c r="C194" s="22"/>
      <x:c r="D194" s="24"/>
      <x:c r="E194" s="24"/>
      <x:c r="F194" s="22"/>
      <x:c r="G194" s="22"/>
      <x:c r="H194" s="22"/>
    </x:row>
    <x:row r="195">
      <x:c r="A195" s="22"/>
      <x:c r="B195" s="28"/>
      <x:c r="C195" s="22"/>
      <x:c r="D195" s="24"/>
      <x:c r="E195" s="24"/>
      <x:c r="F195" s="22"/>
      <x:c r="G195" s="22"/>
      <x:c r="H195" s="22"/>
    </x:row>
    <x:row r="196">
      <x:c r="A196" s="22"/>
      <x:c r="B196" s="28"/>
      <x:c r="C196" s="22"/>
      <x:c r="D196" s="24"/>
      <x:c r="E196" s="24"/>
      <x:c r="F196" s="22"/>
      <x:c r="G196" s="22"/>
      <x:c r="H196" s="22"/>
    </x:row>
    <x:row r="197">
      <x:c r="A197" s="22"/>
      <x:c r="B197" s="28"/>
      <x:c r="C197" s="22"/>
      <x:c r="D197" s="24"/>
      <x:c r="E197" s="24"/>
      <x:c r="F197" s="22"/>
      <x:c r="G197" s="22"/>
      <x:c r="H197" s="22"/>
    </x:row>
    <x:row r="198">
      <x:c r="A198" s="22"/>
      <x:c r="B198" s="28"/>
      <x:c r="C198" s="22"/>
      <x:c r="D198" s="24"/>
      <x:c r="E198" s="24"/>
      <x:c r="F198" s="22"/>
      <x:c r="G198" s="22"/>
      <x:c r="H198" s="22"/>
    </x:row>
    <x:row r="199">
      <x:c r="A199" s="22"/>
      <x:c r="B199" s="28"/>
      <x:c r="C199" s="22"/>
      <x:c r="D199" s="24"/>
      <x:c r="E199" s="24"/>
      <x:c r="F199" s="22"/>
      <x:c r="G199" s="22"/>
      <x:c r="H199" s="22"/>
    </x:row>
    <x:row r="200">
      <x:c r="A200" s="22"/>
      <x:c r="B200" s="28"/>
      <x:c r="C200" s="22"/>
      <x:c r="D200" s="24"/>
      <x:c r="E200" s="24"/>
      <x:c r="F200" s="22"/>
      <x:c r="G200" s="22"/>
      <x:c r="H200" s="22"/>
    </x:row>
  </x:sheetData>
  <x:mergeCells>
    <x:mergeCell ref="A1:W1"/>
    <x:mergeCell ref="A2:W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5" hidden="0" customWidth="1"/>
    <x:col min="3" max="3" width="16" hidden="0" customWidth="1"/>
    <x:col min="4" max="4" width="14" hidden="0" customWidth="1"/>
    <x:col min="5" max="5" width="13" hidden="0" customWidth="1"/>
    <x:col min="6" max="6" width="16" hidden="0" customWidth="1"/>
    <x:col min="7" max="7" width="10" hidden="0" customWidth="1"/>
    <x:col min="8" max="8" width="14" hidden="0" customWidth="1"/>
    <x:col min="9" max="9" width="15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8" hidden="0" customWidth="1"/>
  </x:cols>
  <x:sheetData>
    <x:row r="1" ht="26" customHeight="1">
      <x:c r="A1" s="3" t="str">
        <x:v>ĐỊNH KỲ, HÓA ĐƠN &amp; GOOGLE DRIVE</x:v>
      </x:c>
    </x:row>
    <x:row r="2" ht="28" customHeight="1">
      <x:c r="A2" s="8" t="str">
        <x:v>Dùng Apps Script tạo giao dịch chờ duyệt và lưu ảnh theo thư mục YYYY/MM/DD.</x:v>
      </x:c>
    </x:row>
    <x:row r="4" ht="30" customHeight="1">
      <x:c r="A4" s="16" t="str">
        <x:v>Recurring_ID</x:v>
      </x:c>
      <x:c r="B4" s="16" t="str">
        <x:v>Tên khoản</x:v>
      </x:c>
      <x:c r="C4" s="16" t="str">
        <x:v>Loại</x:v>
      </x:c>
      <x:c r="D4" s="16" t="str">
        <x:v>Category_ID</x:v>
      </x:c>
      <x:c r="E4" s="16" t="str">
        <x:v>Account_ID</x:v>
      </x:c>
      <x:c r="F4" s="16" t="str">
        <x:v>Số tiền</x:v>
      </x:c>
      <x:c r="G4" s="16" t="str">
        <x:v>Tiền tệ</x:v>
      </x:c>
      <x:c r="H4" s="16" t="str">
        <x:v>Tần suất</x:v>
      </x:c>
      <x:c r="I4" s="16" t="str">
        <x:v>Ngày trong tháng</x:v>
      </x:c>
      <x:c r="J4" s="16" t="str">
        <x:v>Bắt đầu</x:v>
      </x:c>
      <x:c r="K4" s="16" t="str">
        <x:v>Kết thúc</x:v>
      </x:c>
      <x:c r="L4" s="16" t="str">
        <x:v>Privacy_Tag</x:v>
      </x:c>
      <x:c r="M4" s="16" t="str">
        <x:v>Tự tạo</x:v>
      </x:c>
      <x:c r="N4" s="16" t="str">
        <x:v>Trạng thái</x:v>
      </x:c>
      <x:c r="O4" s="16" t="str">
        <x:v>Ghi chú</x:v>
      </x:c>
    </x:row>
    <x:row r="5">
      <x:c r="A5" s="22"/>
      <x:c r="B5" s="22"/>
      <x:c r="C5" s="22"/>
      <x:c r="D5" s="22"/>
      <x:c r="E5" s="22"/>
      <x:c r="F5" s="24"/>
      <x:c r="G5" s="22"/>
      <x:c r="H5" s="22"/>
      <x:c r="I5" s="22"/>
      <x:c r="J5" s="28"/>
      <x:c r="K5" s="28"/>
      <x:c r="L5" s="22"/>
      <x:c r="M5" s="22"/>
      <x:c r="N5" s="22"/>
      <x:c r="O5" s="22"/>
    </x:row>
    <x:row r="6">
      <x:c r="A6" s="22"/>
      <x:c r="B6" s="22"/>
      <x:c r="C6" s="22"/>
      <x:c r="D6" s="22"/>
      <x:c r="E6" s="22"/>
      <x:c r="F6" s="24"/>
      <x:c r="G6" s="22"/>
      <x:c r="H6" s="22"/>
      <x:c r="I6" s="22"/>
      <x:c r="J6" s="28"/>
      <x:c r="K6" s="28"/>
      <x:c r="L6" s="22"/>
      <x:c r="M6" s="22"/>
      <x:c r="N6" s="22"/>
      <x:c r="O6" s="22"/>
    </x:row>
    <x:row r="7">
      <x:c r="A7" s="22"/>
      <x:c r="B7" s="22"/>
      <x:c r="C7" s="22"/>
      <x:c r="D7" s="22"/>
      <x:c r="E7" s="22"/>
      <x:c r="F7" s="24"/>
      <x:c r="G7" s="22"/>
      <x:c r="H7" s="22"/>
      <x:c r="I7" s="22"/>
      <x:c r="J7" s="28"/>
      <x:c r="K7" s="28"/>
      <x:c r="L7" s="22"/>
      <x:c r="M7" s="22"/>
      <x:c r="N7" s="22"/>
      <x:c r="O7" s="22"/>
    </x:row>
    <x:row r="8">
      <x:c r="A8" s="22"/>
      <x:c r="B8" s="22"/>
      <x:c r="C8" s="22"/>
      <x:c r="D8" s="22"/>
      <x:c r="E8" s="22"/>
      <x:c r="F8" s="24"/>
      <x:c r="G8" s="22"/>
      <x:c r="H8" s="22"/>
      <x:c r="I8" s="22"/>
      <x:c r="J8" s="28"/>
      <x:c r="K8" s="28"/>
      <x:c r="L8" s="22"/>
      <x:c r="M8" s="22"/>
      <x:c r="N8" s="22"/>
      <x:c r="O8" s="22"/>
    </x:row>
    <x:row r="9">
      <x:c r="A9" s="22"/>
      <x:c r="B9" s="22"/>
      <x:c r="C9" s="22"/>
      <x:c r="D9" s="22"/>
      <x:c r="E9" s="22"/>
      <x:c r="F9" s="24"/>
      <x:c r="G9" s="22"/>
      <x:c r="H9" s="22"/>
      <x:c r="I9" s="22"/>
      <x:c r="J9" s="28"/>
      <x:c r="K9" s="28"/>
      <x:c r="L9" s="22"/>
      <x:c r="M9" s="22"/>
      <x:c r="N9" s="22"/>
      <x:c r="O9" s="22"/>
    </x:row>
    <x:row r="10">
      <x:c r="A10" s="22"/>
      <x:c r="B10" s="22"/>
      <x:c r="C10" s="22"/>
      <x:c r="D10" s="22"/>
      <x:c r="E10" s="22"/>
      <x:c r="F10" s="24"/>
      <x:c r="G10" s="22"/>
      <x:c r="H10" s="22"/>
      <x:c r="I10" s="22"/>
      <x:c r="J10" s="28"/>
      <x:c r="K10" s="28"/>
      <x:c r="L10" s="22"/>
      <x:c r="M10" s="22"/>
      <x:c r="N10" s="22"/>
      <x:c r="O10" s="22"/>
    </x:row>
    <x:row r="11">
      <x:c r="A11" s="22"/>
      <x:c r="B11" s="22"/>
      <x:c r="C11" s="22"/>
      <x:c r="D11" s="22"/>
      <x:c r="E11" s="22"/>
      <x:c r="F11" s="24"/>
      <x:c r="G11" s="22"/>
      <x:c r="H11" s="22"/>
      <x:c r="I11" s="22"/>
      <x:c r="J11" s="28"/>
      <x:c r="K11" s="28"/>
      <x:c r="L11" s="22"/>
      <x:c r="M11" s="22"/>
      <x:c r="N11" s="22"/>
      <x:c r="O11" s="22"/>
    </x:row>
    <x:row r="12">
      <x:c r="A12" s="22"/>
      <x:c r="B12" s="22"/>
      <x:c r="C12" s="22"/>
      <x:c r="D12" s="22"/>
      <x:c r="E12" s="22"/>
      <x:c r="F12" s="24"/>
      <x:c r="G12" s="22"/>
      <x:c r="H12" s="22"/>
      <x:c r="I12" s="22"/>
      <x:c r="J12" s="28"/>
      <x:c r="K12" s="28"/>
      <x:c r="L12" s="22"/>
      <x:c r="M12" s="22"/>
      <x:c r="N12" s="22"/>
      <x:c r="O12" s="22"/>
    </x:row>
    <x:row r="13">
      <x:c r="A13" s="22"/>
      <x:c r="B13" s="22"/>
      <x:c r="C13" s="22"/>
      <x:c r="D13" s="22"/>
      <x:c r="E13" s="22"/>
      <x:c r="F13" s="24"/>
      <x:c r="G13" s="22"/>
      <x:c r="H13" s="22"/>
      <x:c r="I13" s="22"/>
      <x:c r="J13" s="28"/>
      <x:c r="K13" s="28"/>
      <x:c r="L13" s="22"/>
      <x:c r="M13" s="22"/>
      <x:c r="N13" s="22"/>
      <x:c r="O13" s="22"/>
    </x:row>
    <x:row r="14">
      <x:c r="A14" s="22"/>
      <x:c r="B14" s="22"/>
      <x:c r="C14" s="22"/>
      <x:c r="D14" s="22"/>
      <x:c r="E14" s="22"/>
      <x:c r="F14" s="24"/>
      <x:c r="G14" s="22"/>
      <x:c r="H14" s="22"/>
      <x:c r="I14" s="22"/>
      <x:c r="J14" s="28"/>
      <x:c r="K14" s="28"/>
      <x:c r="L14" s="22"/>
      <x:c r="M14" s="22"/>
      <x:c r="N14" s="22"/>
      <x:c r="O14" s="22"/>
    </x:row>
    <x:row r="15">
      <x:c r="A15" s="22"/>
      <x:c r="B15" s="22"/>
      <x:c r="C15" s="22"/>
      <x:c r="D15" s="22"/>
      <x:c r="E15" s="22"/>
      <x:c r="F15" s="24"/>
      <x:c r="G15" s="22"/>
      <x:c r="H15" s="22"/>
      <x:c r="I15" s="22"/>
      <x:c r="J15" s="28"/>
      <x:c r="K15" s="28"/>
      <x:c r="L15" s="22"/>
      <x:c r="M15" s="22"/>
      <x:c r="N15" s="22"/>
      <x:c r="O15" s="22"/>
    </x:row>
    <x:row r="16">
      <x:c r="A16" s="22"/>
      <x:c r="B16" s="22"/>
      <x:c r="C16" s="22"/>
      <x:c r="D16" s="22"/>
      <x:c r="E16" s="22"/>
      <x:c r="F16" s="24"/>
      <x:c r="G16" s="22"/>
      <x:c r="H16" s="22"/>
      <x:c r="I16" s="22"/>
      <x:c r="J16" s="28"/>
      <x:c r="K16" s="28"/>
      <x:c r="L16" s="22"/>
      <x:c r="M16" s="22"/>
      <x:c r="N16" s="22"/>
      <x:c r="O16" s="22"/>
    </x:row>
    <x:row r="17">
      <x:c r="A17" s="22"/>
      <x:c r="B17" s="22"/>
      <x:c r="C17" s="22"/>
      <x:c r="D17" s="22"/>
      <x:c r="E17" s="22"/>
      <x:c r="F17" s="24"/>
      <x:c r="G17" s="22"/>
      <x:c r="H17" s="22"/>
      <x:c r="I17" s="22"/>
      <x:c r="J17" s="28"/>
      <x:c r="K17" s="28"/>
      <x:c r="L17" s="22"/>
      <x:c r="M17" s="22"/>
      <x:c r="N17" s="22"/>
      <x:c r="O17" s="22"/>
    </x:row>
    <x:row r="18">
      <x:c r="A18" s="22"/>
      <x:c r="B18" s="22"/>
      <x:c r="C18" s="22"/>
      <x:c r="D18" s="22"/>
      <x:c r="E18" s="22"/>
      <x:c r="F18" s="24"/>
      <x:c r="G18" s="22"/>
      <x:c r="H18" s="22"/>
      <x:c r="I18" s="22"/>
      <x:c r="J18" s="28"/>
      <x:c r="K18" s="28"/>
      <x:c r="L18" s="22"/>
      <x:c r="M18" s="22"/>
      <x:c r="N18" s="22"/>
      <x:c r="O18" s="22"/>
    </x:row>
    <x:row r="19">
      <x:c r="A19" s="22"/>
      <x:c r="B19" s="22"/>
      <x:c r="C19" s="22"/>
      <x:c r="D19" s="22"/>
      <x:c r="E19" s="22"/>
      <x:c r="F19" s="24"/>
      <x:c r="G19" s="22"/>
      <x:c r="H19" s="22"/>
      <x:c r="I19" s="22"/>
      <x:c r="J19" s="28"/>
      <x:c r="K19" s="28"/>
      <x:c r="L19" s="22"/>
      <x:c r="M19" s="22"/>
      <x:c r="N19" s="22"/>
      <x:c r="O19" s="22"/>
    </x:row>
    <x:row r="20">
      <x:c r="A20" s="22"/>
      <x:c r="B20" s="22"/>
      <x:c r="C20" s="22"/>
      <x:c r="D20" s="22"/>
      <x:c r="E20" s="22"/>
      <x:c r="F20" s="24"/>
      <x:c r="G20" s="22"/>
      <x:c r="H20" s="22"/>
      <x:c r="I20" s="22"/>
      <x:c r="J20" s="28"/>
      <x:c r="K20" s="28"/>
      <x:c r="L20" s="22"/>
      <x:c r="M20" s="22"/>
      <x:c r="N20" s="22"/>
      <x:c r="O20" s="22"/>
    </x:row>
    <x:row r="21">
      <x:c r="A21" s="22"/>
      <x:c r="B21" s="22"/>
      <x:c r="C21" s="22"/>
      <x:c r="D21" s="22"/>
      <x:c r="E21" s="22"/>
      <x:c r="F21" s="24"/>
      <x:c r="G21" s="22"/>
      <x:c r="H21" s="22"/>
      <x:c r="I21" s="22"/>
      <x:c r="J21" s="28"/>
      <x:c r="K21" s="28"/>
      <x:c r="L21" s="22"/>
      <x:c r="M21" s="22"/>
      <x:c r="N21" s="22"/>
      <x:c r="O21" s="22"/>
    </x:row>
    <x:row r="22">
      <x:c r="A22" s="22"/>
      <x:c r="B22" s="22"/>
      <x:c r="C22" s="22"/>
      <x:c r="D22" s="22"/>
      <x:c r="E22" s="22"/>
      <x:c r="F22" s="24"/>
      <x:c r="G22" s="22"/>
      <x:c r="H22" s="22"/>
      <x:c r="I22" s="22"/>
      <x:c r="J22" s="28"/>
      <x:c r="K22" s="28"/>
      <x:c r="L22" s="22"/>
      <x:c r="M22" s="22"/>
      <x:c r="N22" s="22"/>
      <x:c r="O22" s="22"/>
    </x:row>
    <x:row r="23">
      <x:c r="A23" s="22"/>
      <x:c r="B23" s="22"/>
      <x:c r="C23" s="22"/>
      <x:c r="D23" s="22"/>
      <x:c r="E23" s="22"/>
      <x:c r="F23" s="24"/>
      <x:c r="G23" s="22"/>
      <x:c r="H23" s="22"/>
      <x:c r="I23" s="22"/>
      <x:c r="J23" s="28"/>
      <x:c r="K23" s="28"/>
      <x:c r="L23" s="22"/>
      <x:c r="M23" s="22"/>
      <x:c r="N23" s="22"/>
      <x:c r="O23" s="22"/>
    </x:row>
    <x:row r="24">
      <x:c r="A24" s="22"/>
      <x:c r="B24" s="22"/>
      <x:c r="C24" s="22"/>
      <x:c r="D24" s="22"/>
      <x:c r="E24" s="22"/>
      <x:c r="F24" s="24"/>
      <x:c r="G24" s="22"/>
      <x:c r="H24" s="22"/>
      <x:c r="I24" s="22"/>
      <x:c r="J24" s="28"/>
      <x:c r="K24" s="28"/>
      <x:c r="L24" s="22"/>
      <x:c r="M24" s="22"/>
      <x:c r="N24" s="22"/>
      <x:c r="O24" s="22"/>
    </x:row>
    <x:row r="25">
      <x:c r="A25" s="22"/>
      <x:c r="B25" s="22"/>
      <x:c r="C25" s="22"/>
      <x:c r="D25" s="22"/>
      <x:c r="E25" s="22"/>
      <x:c r="F25" s="24"/>
      <x:c r="G25" s="22"/>
      <x:c r="H25" s="22"/>
      <x:c r="I25" s="22"/>
      <x:c r="J25" s="28"/>
      <x:c r="K25" s="28"/>
      <x:c r="L25" s="22"/>
      <x:c r="M25" s="22"/>
      <x:c r="N25" s="22"/>
      <x:c r="O25" s="22"/>
    </x:row>
    <x:row r="26">
      <x:c r="A26" s="22"/>
      <x:c r="B26" s="22"/>
      <x:c r="C26" s="22"/>
      <x:c r="D26" s="22"/>
      <x:c r="E26" s="22"/>
      <x:c r="F26" s="24"/>
      <x:c r="G26" s="22"/>
      <x:c r="H26" s="22"/>
      <x:c r="I26" s="22"/>
      <x:c r="J26" s="28"/>
      <x:c r="K26" s="28"/>
      <x:c r="L26" s="22"/>
      <x:c r="M26" s="22"/>
      <x:c r="N26" s="22"/>
      <x:c r="O26" s="22"/>
    </x:row>
    <x:row r="27">
      <x:c r="A27" s="22"/>
      <x:c r="B27" s="22"/>
      <x:c r="C27" s="22"/>
      <x:c r="D27" s="22"/>
      <x:c r="E27" s="22"/>
      <x:c r="F27" s="24"/>
      <x:c r="G27" s="22"/>
      <x:c r="H27" s="22"/>
      <x:c r="I27" s="22"/>
      <x:c r="J27" s="28"/>
      <x:c r="K27" s="28"/>
      <x:c r="L27" s="22"/>
      <x:c r="M27" s="22"/>
      <x:c r="N27" s="22"/>
      <x:c r="O27" s="22"/>
    </x:row>
    <x:row r="28">
      <x:c r="A28" s="22"/>
      <x:c r="B28" s="22"/>
      <x:c r="C28" s="22"/>
      <x:c r="D28" s="22"/>
      <x:c r="E28" s="22"/>
      <x:c r="F28" s="24"/>
      <x:c r="G28" s="22"/>
      <x:c r="H28" s="22"/>
      <x:c r="I28" s="22"/>
      <x:c r="J28" s="28"/>
      <x:c r="K28" s="28"/>
      <x:c r="L28" s="22"/>
      <x:c r="M28" s="22"/>
      <x:c r="N28" s="22"/>
      <x:c r="O28" s="22"/>
    </x:row>
    <x:row r="29">
      <x:c r="A29" s="22"/>
      <x:c r="B29" s="22"/>
      <x:c r="C29" s="22"/>
      <x:c r="D29" s="22"/>
      <x:c r="E29" s="22"/>
      <x:c r="F29" s="24"/>
      <x:c r="G29" s="22"/>
      <x:c r="H29" s="22"/>
      <x:c r="I29" s="22"/>
      <x:c r="J29" s="28"/>
      <x:c r="K29" s="28"/>
      <x:c r="L29" s="22"/>
      <x:c r="M29" s="22"/>
      <x:c r="N29" s="22"/>
      <x:c r="O29" s="22"/>
    </x:row>
    <x:row r="30">
      <x:c r="A30" s="22"/>
      <x:c r="B30" s="22"/>
      <x:c r="C30" s="22"/>
      <x:c r="D30" s="22"/>
      <x:c r="E30" s="22"/>
      <x:c r="F30" s="24"/>
      <x:c r="G30" s="22"/>
      <x:c r="H30" s="22"/>
      <x:c r="I30" s="22"/>
      <x:c r="J30" s="28"/>
      <x:c r="K30" s="28"/>
      <x:c r="L30" s="22"/>
      <x:c r="M30" s="22"/>
      <x:c r="N30" s="22"/>
      <x:c r="O30" s="22"/>
    </x:row>
    <x:row r="31">
      <x:c r="A31" s="22"/>
      <x:c r="B31" s="22"/>
      <x:c r="C31" s="22"/>
      <x:c r="D31" s="22"/>
      <x:c r="E31" s="22"/>
      <x:c r="F31" s="24"/>
      <x:c r="G31" s="22"/>
      <x:c r="H31" s="22"/>
      <x:c r="I31" s="22"/>
      <x:c r="J31" s="28"/>
      <x:c r="K31" s="28"/>
      <x:c r="L31" s="22"/>
      <x:c r="M31" s="22"/>
      <x:c r="N31" s="22"/>
      <x:c r="O31" s="22"/>
    </x:row>
    <x:row r="32">
      <x:c r="A32" s="22"/>
      <x:c r="B32" s="22"/>
      <x:c r="C32" s="22"/>
      <x:c r="D32" s="22"/>
      <x:c r="E32" s="22"/>
      <x:c r="F32" s="24"/>
      <x:c r="G32" s="22"/>
      <x:c r="H32" s="22"/>
      <x:c r="I32" s="22"/>
      <x:c r="J32" s="28"/>
      <x:c r="K32" s="28"/>
      <x:c r="L32" s="22"/>
      <x:c r="M32" s="22"/>
      <x:c r="N32" s="22"/>
      <x:c r="O32" s="22"/>
    </x:row>
    <x:row r="33">
      <x:c r="A33" s="22"/>
      <x:c r="B33" s="22"/>
      <x:c r="C33" s="22"/>
      <x:c r="D33" s="22"/>
      <x:c r="E33" s="22"/>
      <x:c r="F33" s="24"/>
      <x:c r="G33" s="22"/>
      <x:c r="H33" s="22"/>
      <x:c r="I33" s="22"/>
      <x:c r="J33" s="28"/>
      <x:c r="K33" s="28"/>
      <x:c r="L33" s="22"/>
      <x:c r="M33" s="22"/>
      <x:c r="N33" s="22"/>
      <x:c r="O33" s="22"/>
    </x:row>
    <x:row r="34">
      <x:c r="A34" s="22"/>
      <x:c r="B34" s="22"/>
      <x:c r="C34" s="22"/>
      <x:c r="D34" s="22"/>
      <x:c r="E34" s="22"/>
      <x:c r="F34" s="24"/>
      <x:c r="G34" s="22"/>
      <x:c r="H34" s="22"/>
      <x:c r="I34" s="22"/>
      <x:c r="J34" s="28"/>
      <x:c r="K34" s="28"/>
      <x:c r="L34" s="22"/>
      <x:c r="M34" s="22"/>
      <x:c r="N34" s="22"/>
      <x:c r="O34" s="22"/>
    </x:row>
    <x:row r="35">
      <x:c r="A35" s="22"/>
      <x:c r="B35" s="22"/>
      <x:c r="C35" s="22"/>
      <x:c r="D35" s="22"/>
      <x:c r="E35" s="22"/>
      <x:c r="F35" s="24"/>
      <x:c r="G35" s="22"/>
      <x:c r="H35" s="22"/>
      <x:c r="I35" s="22"/>
      <x:c r="J35" s="28"/>
      <x:c r="K35" s="28"/>
      <x:c r="L35" s="22"/>
      <x:c r="M35" s="22"/>
      <x:c r="N35" s="22"/>
      <x:c r="O35" s="22"/>
    </x:row>
    <x:row r="36">
      <x:c r="A36" s="22"/>
      <x:c r="B36" s="22"/>
      <x:c r="C36" s="22"/>
      <x:c r="D36" s="22"/>
      <x:c r="E36" s="22"/>
      <x:c r="F36" s="24"/>
      <x:c r="G36" s="22"/>
      <x:c r="H36" s="22"/>
      <x:c r="I36" s="22"/>
      <x:c r="J36" s="28"/>
      <x:c r="K36" s="28"/>
      <x:c r="L36" s="22"/>
      <x:c r="M36" s="22"/>
      <x:c r="N36" s="22"/>
      <x:c r="O36" s="22"/>
    </x:row>
    <x:row r="37">
      <x:c r="A37" s="22"/>
      <x:c r="B37" s="22"/>
      <x:c r="C37" s="22"/>
      <x:c r="D37" s="22"/>
      <x:c r="E37" s="22"/>
      <x:c r="F37" s="24"/>
      <x:c r="G37" s="22"/>
      <x:c r="H37" s="22"/>
      <x:c r="I37" s="22"/>
      <x:c r="J37" s="28"/>
      <x:c r="K37" s="28"/>
      <x:c r="L37" s="22"/>
      <x:c r="M37" s="22"/>
      <x:c r="N37" s="22"/>
      <x:c r="O37" s="22"/>
    </x:row>
    <x:row r="38">
      <x:c r="A38" s="22"/>
      <x:c r="B38" s="22"/>
      <x:c r="C38" s="22"/>
      <x:c r="D38" s="22"/>
      <x:c r="E38" s="22"/>
      <x:c r="F38" s="24"/>
      <x:c r="G38" s="22"/>
      <x:c r="H38" s="22"/>
      <x:c r="I38" s="22"/>
      <x:c r="J38" s="28"/>
      <x:c r="K38" s="28"/>
      <x:c r="L38" s="22"/>
      <x:c r="M38" s="22"/>
      <x:c r="N38" s="22"/>
      <x:c r="O38" s="22"/>
    </x:row>
    <x:row r="39">
      <x:c r="A39" s="22"/>
      <x:c r="B39" s="22"/>
      <x:c r="C39" s="22"/>
      <x:c r="D39" s="22"/>
      <x:c r="E39" s="22"/>
      <x:c r="F39" s="24"/>
      <x:c r="G39" s="22"/>
      <x:c r="H39" s="22"/>
      <x:c r="I39" s="22"/>
      <x:c r="J39" s="28"/>
      <x:c r="K39" s="28"/>
      <x:c r="L39" s="22"/>
      <x:c r="M39" s="22"/>
      <x:c r="N39" s="22"/>
      <x:c r="O39" s="22"/>
    </x:row>
    <x:row r="40">
      <x:c r="A40" s="22"/>
      <x:c r="B40" s="22"/>
      <x:c r="C40" s="22"/>
      <x:c r="D40" s="22"/>
      <x:c r="E40" s="22"/>
      <x:c r="F40" s="24"/>
      <x:c r="G40" s="22"/>
      <x:c r="H40" s="22"/>
      <x:c r="I40" s="22"/>
      <x:c r="J40" s="28"/>
      <x:c r="K40" s="28"/>
      <x:c r="L40" s="22"/>
      <x:c r="M40" s="22"/>
      <x:c r="N40" s="22"/>
      <x:c r="O40" s="22"/>
    </x:row>
    <x:row r="41">
      <x:c r="A41" s="22"/>
      <x:c r="B41" s="22"/>
      <x:c r="C41" s="22"/>
      <x:c r="D41" s="22"/>
      <x:c r="E41" s="22"/>
      <x:c r="F41" s="24"/>
      <x:c r="G41" s="22"/>
      <x:c r="H41" s="22"/>
      <x:c r="I41" s="22"/>
      <x:c r="J41" s="28"/>
      <x:c r="K41" s="28"/>
      <x:c r="L41" s="22"/>
      <x:c r="M41" s="22"/>
      <x:c r="N41" s="22"/>
      <x:c r="O41" s="22"/>
    </x:row>
    <x:row r="42">
      <x:c r="A42" s="22"/>
      <x:c r="B42" s="22"/>
      <x:c r="C42" s="22"/>
      <x:c r="D42" s="22"/>
      <x:c r="E42" s="22"/>
      <x:c r="F42" s="24"/>
      <x:c r="G42" s="22"/>
      <x:c r="H42" s="22"/>
      <x:c r="I42" s="22"/>
      <x:c r="J42" s="28"/>
      <x:c r="K42" s="28"/>
      <x:c r="L42" s="22"/>
      <x:c r="M42" s="22"/>
      <x:c r="N42" s="22"/>
      <x:c r="O42" s="22"/>
    </x:row>
    <x:row r="43">
      <x:c r="A43" s="22"/>
      <x:c r="B43" s="22"/>
      <x:c r="C43" s="22"/>
      <x:c r="D43" s="22"/>
      <x:c r="E43" s="22"/>
      <x:c r="F43" s="24"/>
      <x:c r="G43" s="22"/>
      <x:c r="H43" s="22"/>
      <x:c r="I43" s="22"/>
      <x:c r="J43" s="28"/>
      <x:c r="K43" s="28"/>
      <x:c r="L43" s="22"/>
      <x:c r="M43" s="22"/>
      <x:c r="N43" s="22"/>
      <x:c r="O43" s="22"/>
    </x:row>
    <x:row r="44">
      <x:c r="A44" s="22"/>
      <x:c r="B44" s="22"/>
      <x:c r="C44" s="22"/>
      <x:c r="D44" s="22"/>
      <x:c r="E44" s="22"/>
      <x:c r="F44" s="24"/>
      <x:c r="G44" s="22"/>
      <x:c r="H44" s="22"/>
      <x:c r="I44" s="22"/>
      <x:c r="J44" s="28"/>
      <x:c r="K44" s="28"/>
      <x:c r="L44" s="22"/>
      <x:c r="M44" s="22"/>
      <x:c r="N44" s="22"/>
      <x:c r="O44" s="22"/>
    </x:row>
    <x:row r="45">
      <x:c r="A45" s="22"/>
      <x:c r="B45" s="22"/>
      <x:c r="C45" s="22"/>
      <x:c r="D45" s="22"/>
      <x:c r="E45" s="22"/>
      <x:c r="F45" s="24"/>
      <x:c r="G45" s="22"/>
      <x:c r="H45" s="22"/>
      <x:c r="I45" s="22"/>
      <x:c r="J45" s="28"/>
      <x:c r="K45" s="28"/>
      <x:c r="L45" s="22"/>
      <x:c r="M45" s="22"/>
      <x:c r="N45" s="22"/>
      <x:c r="O45" s="22"/>
    </x:row>
    <x:row r="46">
      <x:c r="A46" s="22"/>
      <x:c r="B46" s="22"/>
      <x:c r="C46" s="22"/>
      <x:c r="D46" s="22"/>
      <x:c r="E46" s="22"/>
      <x:c r="F46" s="24"/>
      <x:c r="G46" s="22"/>
      <x:c r="H46" s="22"/>
      <x:c r="I46" s="22"/>
      <x:c r="J46" s="28"/>
      <x:c r="K46" s="28"/>
      <x:c r="L46" s="22"/>
      <x:c r="M46" s="22"/>
      <x:c r="N46" s="22"/>
      <x:c r="O46" s="22"/>
    </x:row>
    <x:row r="47">
      <x:c r="A47" s="22"/>
      <x:c r="B47" s="22"/>
      <x:c r="C47" s="22"/>
      <x:c r="D47" s="22"/>
      <x:c r="E47" s="22"/>
      <x:c r="F47" s="24"/>
      <x:c r="G47" s="22"/>
      <x:c r="H47" s="22"/>
      <x:c r="I47" s="22"/>
      <x:c r="J47" s="28"/>
      <x:c r="K47" s="28"/>
      <x:c r="L47" s="22"/>
      <x:c r="M47" s="22"/>
      <x:c r="N47" s="22"/>
      <x:c r="O47" s="22"/>
    </x:row>
    <x:row r="48">
      <x:c r="A48" s="22"/>
      <x:c r="B48" s="22"/>
      <x:c r="C48" s="22"/>
      <x:c r="D48" s="22"/>
      <x:c r="E48" s="22"/>
      <x:c r="F48" s="24"/>
      <x:c r="G48" s="22"/>
      <x:c r="H48" s="22"/>
      <x:c r="I48" s="22"/>
      <x:c r="J48" s="28"/>
      <x:c r="K48" s="28"/>
      <x:c r="L48" s="22"/>
      <x:c r="M48" s="22"/>
      <x:c r="N48" s="22"/>
      <x:c r="O48" s="22"/>
    </x:row>
    <x:row r="49">
      <x:c r="A49" s="22"/>
      <x:c r="B49" s="22"/>
      <x:c r="C49" s="22"/>
      <x:c r="D49" s="22"/>
      <x:c r="E49" s="22"/>
      <x:c r="F49" s="24"/>
      <x:c r="G49" s="22"/>
      <x:c r="H49" s="22"/>
      <x:c r="I49" s="22"/>
      <x:c r="J49" s="28"/>
      <x:c r="K49" s="28"/>
      <x:c r="L49" s="22"/>
      <x:c r="M49" s="22"/>
      <x:c r="N49" s="22"/>
      <x:c r="O49" s="22"/>
    </x:row>
    <x:row r="50">
      <x:c r="A50" s="22"/>
      <x:c r="B50" s="22"/>
      <x:c r="C50" s="22"/>
      <x:c r="D50" s="22"/>
      <x:c r="E50" s="22"/>
      <x:c r="F50" s="24"/>
      <x:c r="G50" s="22"/>
      <x:c r="H50" s="22"/>
      <x:c r="I50" s="22"/>
      <x:c r="J50" s="28"/>
      <x:c r="K50" s="28"/>
      <x:c r="L50" s="22"/>
      <x:c r="M50" s="22"/>
      <x:c r="N50" s="22"/>
      <x:c r="O50" s="22"/>
    </x:row>
    <x:row r="51">
      <x:c r="A51" s="22"/>
      <x:c r="B51" s="22"/>
      <x:c r="C51" s="22"/>
      <x:c r="D51" s="22"/>
      <x:c r="E51" s="22"/>
      <x:c r="F51" s="24"/>
      <x:c r="G51" s="22"/>
      <x:c r="H51" s="22"/>
      <x:c r="I51" s="22"/>
      <x:c r="J51" s="28"/>
      <x:c r="K51" s="28"/>
      <x:c r="L51" s="22"/>
      <x:c r="M51" s="22"/>
      <x:c r="N51" s="22"/>
      <x:c r="O51" s="22"/>
    </x:row>
    <x:row r="52">
      <x:c r="A52" s="22"/>
      <x:c r="B52" s="22"/>
      <x:c r="C52" s="22"/>
      <x:c r="D52" s="22"/>
      <x:c r="E52" s="22"/>
      <x:c r="F52" s="24"/>
      <x:c r="G52" s="22"/>
      <x:c r="H52" s="22"/>
      <x:c r="I52" s="22"/>
      <x:c r="J52" s="28"/>
      <x:c r="K52" s="28"/>
      <x:c r="L52" s="22"/>
      <x:c r="M52" s="22"/>
      <x:c r="N52" s="22"/>
      <x:c r="O52" s="22"/>
    </x:row>
    <x:row r="53">
      <x:c r="A53" s="22"/>
      <x:c r="B53" s="22"/>
      <x:c r="C53" s="22"/>
      <x:c r="D53" s="22"/>
      <x:c r="E53" s="22"/>
      <x:c r="F53" s="24"/>
      <x:c r="G53" s="22"/>
      <x:c r="H53" s="22"/>
      <x:c r="I53" s="22"/>
      <x:c r="J53" s="28"/>
      <x:c r="K53" s="28"/>
      <x:c r="L53" s="22"/>
      <x:c r="M53" s="22"/>
      <x:c r="N53" s="22"/>
      <x:c r="O53" s="22"/>
    </x:row>
    <x:row r="54">
      <x:c r="A54" s="22"/>
      <x:c r="B54" s="22"/>
      <x:c r="C54" s="22"/>
      <x:c r="D54" s="22"/>
      <x:c r="E54" s="22"/>
      <x:c r="F54" s="24"/>
      <x:c r="G54" s="22"/>
      <x:c r="H54" s="22"/>
      <x:c r="I54" s="22"/>
      <x:c r="J54" s="28"/>
      <x:c r="K54" s="28"/>
      <x:c r="L54" s="22"/>
      <x:c r="M54" s="22"/>
      <x:c r="N54" s="22"/>
      <x:c r="O54" s="22"/>
    </x:row>
    <x:row r="55">
      <x:c r="A55" s="22"/>
      <x:c r="B55" s="22"/>
      <x:c r="C55" s="22"/>
      <x:c r="D55" s="22"/>
      <x:c r="E55" s="22"/>
      <x:c r="F55" s="24"/>
      <x:c r="G55" s="22"/>
      <x:c r="H55" s="22"/>
      <x:c r="I55" s="22"/>
      <x:c r="J55" s="28"/>
      <x:c r="K55" s="28"/>
      <x:c r="L55" s="22"/>
      <x:c r="M55" s="22"/>
      <x:c r="N55" s="22"/>
      <x:c r="O55" s="22"/>
    </x:row>
    <x:row r="56">
      <x:c r="A56" s="22"/>
      <x:c r="B56" s="22"/>
      <x:c r="C56" s="22"/>
      <x:c r="D56" s="22"/>
      <x:c r="E56" s="22"/>
      <x:c r="F56" s="24"/>
      <x:c r="G56" s="22"/>
      <x:c r="H56" s="22"/>
      <x:c r="I56" s="22"/>
      <x:c r="J56" s="28"/>
      <x:c r="K56" s="28"/>
      <x:c r="L56" s="22"/>
      <x:c r="M56" s="22"/>
      <x:c r="N56" s="22"/>
      <x:c r="O56" s="22"/>
    </x:row>
    <x:row r="57">
      <x:c r="A57" s="22"/>
      <x:c r="B57" s="22"/>
      <x:c r="C57" s="22"/>
      <x:c r="D57" s="22"/>
      <x:c r="E57" s="22"/>
      <x:c r="F57" s="24"/>
      <x:c r="G57" s="22"/>
      <x:c r="H57" s="22"/>
      <x:c r="I57" s="22"/>
      <x:c r="J57" s="28"/>
      <x:c r="K57" s="28"/>
      <x:c r="L57" s="22"/>
      <x:c r="M57" s="22"/>
      <x:c r="N57" s="22"/>
      <x:c r="O57" s="22"/>
    </x:row>
    <x:row r="58">
      <x:c r="A58" s="22"/>
      <x:c r="B58" s="22"/>
      <x:c r="C58" s="22"/>
      <x:c r="D58" s="22"/>
      <x:c r="E58" s="22"/>
      <x:c r="F58" s="24"/>
      <x:c r="G58" s="22"/>
      <x:c r="H58" s="22"/>
      <x:c r="I58" s="22"/>
      <x:c r="J58" s="28"/>
      <x:c r="K58" s="28"/>
      <x:c r="L58" s="22"/>
      <x:c r="M58" s="22"/>
      <x:c r="N58" s="22"/>
      <x:c r="O58" s="22"/>
    </x:row>
    <x:row r="59">
      <x:c r="A59" s="22"/>
      <x:c r="B59" s="22"/>
      <x:c r="C59" s="22"/>
      <x:c r="D59" s="22"/>
      <x:c r="E59" s="22"/>
      <x:c r="F59" s="24"/>
      <x:c r="G59" s="22"/>
      <x:c r="H59" s="22"/>
      <x:c r="I59" s="22"/>
      <x:c r="J59" s="28"/>
      <x:c r="K59" s="28"/>
      <x:c r="L59" s="22"/>
      <x:c r="M59" s="22"/>
      <x:c r="N59" s="22"/>
      <x:c r="O59" s="22"/>
    </x:row>
    <x:row r="60">
      <x:c r="A60" s="22"/>
      <x:c r="B60" s="22"/>
      <x:c r="C60" s="22"/>
      <x:c r="D60" s="22"/>
      <x:c r="E60" s="22"/>
      <x:c r="F60" s="24"/>
      <x:c r="G60" s="22"/>
      <x:c r="H60" s="22"/>
      <x:c r="I60" s="22"/>
      <x:c r="J60" s="28"/>
      <x:c r="K60" s="28"/>
      <x:c r="L60" s="22"/>
      <x:c r="M60" s="22"/>
      <x:c r="N60" s="22"/>
      <x:c r="O60" s="22"/>
    </x:row>
    <x:row r="61">
      <x:c r="A61" s="22"/>
      <x:c r="B61" s="22"/>
      <x:c r="C61" s="22"/>
      <x:c r="D61" s="22"/>
      <x:c r="E61" s="22"/>
      <x:c r="F61" s="24"/>
      <x:c r="G61" s="22"/>
      <x:c r="H61" s="22"/>
      <x:c r="I61" s="22"/>
      <x:c r="J61" s="28"/>
      <x:c r="K61" s="28"/>
      <x:c r="L61" s="22"/>
      <x:c r="M61" s="22"/>
      <x:c r="N61" s="22"/>
      <x:c r="O61" s="22"/>
    </x:row>
    <x:row r="62">
      <x:c r="A62" s="22"/>
      <x:c r="B62" s="22"/>
      <x:c r="C62" s="22"/>
      <x:c r="D62" s="22"/>
      <x:c r="E62" s="22"/>
      <x:c r="F62" s="24"/>
      <x:c r="G62" s="22"/>
      <x:c r="H62" s="22"/>
      <x:c r="I62" s="22"/>
      <x:c r="J62" s="28"/>
      <x:c r="K62" s="28"/>
      <x:c r="L62" s="22"/>
      <x:c r="M62" s="22"/>
      <x:c r="N62" s="22"/>
      <x:c r="O62" s="22"/>
    </x:row>
    <x:row r="63">
      <x:c r="A63" s="22"/>
      <x:c r="B63" s="22"/>
      <x:c r="C63" s="22"/>
      <x:c r="D63" s="22"/>
      <x:c r="E63" s="22"/>
      <x:c r="F63" s="24"/>
      <x:c r="G63" s="22"/>
      <x:c r="H63" s="22"/>
      <x:c r="I63" s="22"/>
      <x:c r="J63" s="28"/>
      <x:c r="K63" s="28"/>
      <x:c r="L63" s="22"/>
      <x:c r="M63" s="22"/>
      <x:c r="N63" s="22"/>
      <x:c r="O63" s="22"/>
    </x:row>
    <x:row r="64">
      <x:c r="A64" s="22"/>
      <x:c r="B64" s="22"/>
      <x:c r="C64" s="22"/>
      <x:c r="D64" s="22"/>
      <x:c r="E64" s="22"/>
      <x:c r="F64" s="24"/>
      <x:c r="G64" s="22"/>
      <x:c r="H64" s="22"/>
      <x:c r="I64" s="22"/>
      <x:c r="J64" s="28"/>
      <x:c r="K64" s="28"/>
      <x:c r="L64" s="22"/>
      <x:c r="M64" s="22"/>
      <x:c r="N64" s="22"/>
      <x:c r="O64" s="22"/>
    </x:row>
    <x:row r="65">
      <x:c r="A65" s="22"/>
      <x:c r="B65" s="22"/>
      <x:c r="C65" s="22"/>
      <x:c r="D65" s="22"/>
      <x:c r="E65" s="22"/>
      <x:c r="F65" s="24"/>
      <x:c r="G65" s="22"/>
      <x:c r="H65" s="22"/>
      <x:c r="I65" s="22"/>
      <x:c r="J65" s="28"/>
      <x:c r="K65" s="28"/>
      <x:c r="L65" s="22"/>
      <x:c r="M65" s="22"/>
      <x:c r="N65" s="22"/>
      <x:c r="O65" s="22"/>
    </x:row>
    <x:row r="66">
      <x:c r="A66" s="22"/>
      <x:c r="B66" s="22"/>
      <x:c r="C66" s="22"/>
      <x:c r="D66" s="22"/>
      <x:c r="E66" s="22"/>
      <x:c r="F66" s="24"/>
      <x:c r="G66" s="22"/>
      <x:c r="H66" s="22"/>
      <x:c r="I66" s="22"/>
      <x:c r="J66" s="28"/>
      <x:c r="K66" s="28"/>
      <x:c r="L66" s="22"/>
      <x:c r="M66" s="22"/>
      <x:c r="N66" s="22"/>
      <x:c r="O66" s="22"/>
    </x:row>
    <x:row r="67">
      <x:c r="A67" s="22"/>
      <x:c r="B67" s="22"/>
      <x:c r="C67" s="22"/>
      <x:c r="D67" s="22"/>
      <x:c r="E67" s="22"/>
      <x:c r="F67" s="24"/>
      <x:c r="G67" s="22"/>
      <x:c r="H67" s="22"/>
      <x:c r="I67" s="22"/>
      <x:c r="J67" s="28"/>
      <x:c r="K67" s="28"/>
      <x:c r="L67" s="22"/>
      <x:c r="M67" s="22"/>
      <x:c r="N67" s="22"/>
      <x:c r="O67" s="22"/>
    </x:row>
    <x:row r="68">
      <x:c r="A68" s="22"/>
      <x:c r="B68" s="22"/>
      <x:c r="C68" s="22"/>
      <x:c r="D68" s="22"/>
      <x:c r="E68" s="22"/>
      <x:c r="F68" s="24"/>
      <x:c r="G68" s="22"/>
      <x:c r="H68" s="22"/>
      <x:c r="I68" s="22"/>
      <x:c r="J68" s="28"/>
      <x:c r="K68" s="28"/>
      <x:c r="L68" s="22"/>
      <x:c r="M68" s="22"/>
      <x:c r="N68" s="22"/>
      <x:c r="O68" s="22"/>
    </x:row>
    <x:row r="69">
      <x:c r="A69" s="22"/>
      <x:c r="B69" s="22"/>
      <x:c r="C69" s="22"/>
      <x:c r="D69" s="22"/>
      <x:c r="E69" s="22"/>
      <x:c r="F69" s="24"/>
      <x:c r="G69" s="22"/>
      <x:c r="H69" s="22"/>
      <x:c r="I69" s="22"/>
      <x:c r="J69" s="28"/>
      <x:c r="K69" s="28"/>
      <x:c r="L69" s="22"/>
      <x:c r="M69" s="22"/>
      <x:c r="N69" s="22"/>
      <x:c r="O69" s="22"/>
    </x:row>
    <x:row r="70">
      <x:c r="A70" s="22"/>
      <x:c r="B70" s="22"/>
      <x:c r="C70" s="22"/>
      <x:c r="D70" s="22"/>
      <x:c r="E70" s="22"/>
      <x:c r="F70" s="24"/>
      <x:c r="G70" s="22"/>
      <x:c r="H70" s="22"/>
      <x:c r="I70" s="22"/>
      <x:c r="J70" s="28"/>
      <x:c r="K70" s="28"/>
      <x:c r="L70" s="22"/>
      <x:c r="M70" s="22"/>
      <x:c r="N70" s="22"/>
      <x:c r="O70" s="22"/>
    </x:row>
    <x:row r="71">
      <x:c r="A71" s="22"/>
      <x:c r="B71" s="22"/>
      <x:c r="C71" s="22"/>
      <x:c r="D71" s="22"/>
      <x:c r="E71" s="22"/>
      <x:c r="F71" s="24"/>
      <x:c r="G71" s="22"/>
      <x:c r="H71" s="22"/>
      <x:c r="I71" s="22"/>
      <x:c r="J71" s="28"/>
      <x:c r="K71" s="28"/>
      <x:c r="L71" s="22"/>
      <x:c r="M71" s="22"/>
      <x:c r="N71" s="22"/>
      <x:c r="O71" s="22"/>
    </x:row>
    <x:row r="72">
      <x:c r="A72" s="22"/>
      <x:c r="B72" s="22"/>
      <x:c r="C72" s="22"/>
      <x:c r="D72" s="22"/>
      <x:c r="E72" s="22"/>
      <x:c r="F72" s="24"/>
      <x:c r="G72" s="22"/>
      <x:c r="H72" s="22"/>
      <x:c r="I72" s="22"/>
      <x:c r="J72" s="28"/>
      <x:c r="K72" s="28"/>
      <x:c r="L72" s="22"/>
      <x:c r="M72" s="22"/>
      <x:c r="N72" s="22"/>
      <x:c r="O72" s="22"/>
    </x:row>
    <x:row r="73">
      <x:c r="A73" s="22"/>
      <x:c r="B73" s="22"/>
      <x:c r="C73" s="22"/>
      <x:c r="D73" s="22"/>
      <x:c r="E73" s="22"/>
      <x:c r="F73" s="24"/>
      <x:c r="G73" s="22"/>
      <x:c r="H73" s="22"/>
      <x:c r="I73" s="22"/>
      <x:c r="J73" s="28"/>
      <x:c r="K73" s="28"/>
      <x:c r="L73" s="22"/>
      <x:c r="M73" s="22"/>
      <x:c r="N73" s="22"/>
      <x:c r="O73" s="22"/>
    </x:row>
    <x:row r="74">
      <x:c r="A74" s="22"/>
      <x:c r="B74" s="22"/>
      <x:c r="C74" s="22"/>
      <x:c r="D74" s="22"/>
      <x:c r="E74" s="22"/>
      <x:c r="F74" s="24"/>
      <x:c r="G74" s="22"/>
      <x:c r="H74" s="22"/>
      <x:c r="I74" s="22"/>
      <x:c r="J74" s="28"/>
      <x:c r="K74" s="28"/>
      <x:c r="L74" s="22"/>
      <x:c r="M74" s="22"/>
      <x:c r="N74" s="22"/>
      <x:c r="O74" s="22"/>
    </x:row>
    <x:row r="75">
      <x:c r="A75" s="22"/>
      <x:c r="B75" s="22"/>
      <x:c r="C75" s="22"/>
      <x:c r="D75" s="22"/>
      <x:c r="E75" s="22"/>
      <x:c r="F75" s="24"/>
      <x:c r="G75" s="22"/>
      <x:c r="H75" s="22"/>
      <x:c r="I75" s="22"/>
      <x:c r="J75" s="28"/>
      <x:c r="K75" s="28"/>
      <x:c r="L75" s="22"/>
      <x:c r="M75" s="22"/>
      <x:c r="N75" s="22"/>
      <x:c r="O75" s="22"/>
    </x:row>
    <x:row r="76">
      <x:c r="A76" s="22"/>
      <x:c r="B76" s="22"/>
      <x:c r="C76" s="22"/>
      <x:c r="D76" s="22"/>
      <x:c r="E76" s="22"/>
      <x:c r="F76" s="24"/>
      <x:c r="G76" s="22"/>
      <x:c r="H76" s="22"/>
      <x:c r="I76" s="22"/>
      <x:c r="J76" s="28"/>
      <x:c r="K76" s="28"/>
      <x:c r="L76" s="22"/>
      <x:c r="M76" s="22"/>
      <x:c r="N76" s="22"/>
      <x:c r="O76" s="22"/>
    </x:row>
    <x:row r="77">
      <x:c r="A77" s="22"/>
      <x:c r="B77" s="22"/>
      <x:c r="C77" s="22"/>
      <x:c r="D77" s="22"/>
      <x:c r="E77" s="22"/>
      <x:c r="F77" s="24"/>
      <x:c r="G77" s="22"/>
      <x:c r="H77" s="22"/>
      <x:c r="I77" s="22"/>
      <x:c r="J77" s="28"/>
      <x:c r="K77" s="28"/>
      <x:c r="L77" s="22"/>
      <x:c r="M77" s="22"/>
      <x:c r="N77" s="22"/>
      <x:c r="O77" s="22"/>
    </x:row>
    <x:row r="78">
      <x:c r="A78" s="22"/>
      <x:c r="B78" s="22"/>
      <x:c r="C78" s="22"/>
      <x:c r="D78" s="22"/>
      <x:c r="E78" s="22"/>
      <x:c r="F78" s="24"/>
      <x:c r="G78" s="22"/>
      <x:c r="H78" s="22"/>
      <x:c r="I78" s="22"/>
      <x:c r="J78" s="28"/>
      <x:c r="K78" s="28"/>
      <x:c r="L78" s="22"/>
      <x:c r="M78" s="22"/>
      <x:c r="N78" s="22"/>
      <x:c r="O78" s="22"/>
    </x:row>
    <x:row r="79">
      <x:c r="A79" s="22"/>
      <x:c r="B79" s="22"/>
      <x:c r="C79" s="22"/>
      <x:c r="D79" s="22"/>
      <x:c r="E79" s="22"/>
      <x:c r="F79" s="24"/>
      <x:c r="G79" s="22"/>
      <x:c r="H79" s="22"/>
      <x:c r="I79" s="22"/>
      <x:c r="J79" s="28"/>
      <x:c r="K79" s="28"/>
      <x:c r="L79" s="22"/>
      <x:c r="M79" s="22"/>
      <x:c r="N79" s="22"/>
      <x:c r="O79" s="22"/>
    </x:row>
    <x:row r="80">
      <x:c r="A80" s="22"/>
      <x:c r="B80" s="22"/>
      <x:c r="C80" s="22"/>
      <x:c r="D80" s="22"/>
      <x:c r="E80" s="22"/>
      <x:c r="F80" s="24"/>
      <x:c r="G80" s="22"/>
      <x:c r="H80" s="22"/>
      <x:c r="I80" s="22"/>
      <x:c r="J80" s="28"/>
      <x:c r="K80" s="28"/>
      <x:c r="L80" s="22"/>
      <x:c r="M80" s="22"/>
      <x:c r="N80" s="22"/>
      <x:c r="O80" s="22"/>
    </x:row>
    <x:row r="81">
      <x:c r="A81" s="22"/>
      <x:c r="B81" s="22"/>
      <x:c r="C81" s="22"/>
      <x:c r="D81" s="22"/>
      <x:c r="E81" s="22"/>
      <x:c r="F81" s="24"/>
      <x:c r="G81" s="22"/>
      <x:c r="H81" s="22"/>
      <x:c r="I81" s="22"/>
      <x:c r="J81" s="28"/>
      <x:c r="K81" s="28"/>
      <x:c r="L81" s="22"/>
      <x:c r="M81" s="22"/>
      <x:c r="N81" s="22"/>
      <x:c r="O81" s="22"/>
    </x:row>
    <x:row r="82">
      <x:c r="A82" s="22"/>
      <x:c r="B82" s="22"/>
      <x:c r="C82" s="22"/>
      <x:c r="D82" s="22"/>
      <x:c r="E82" s="22"/>
      <x:c r="F82" s="24"/>
      <x:c r="G82" s="22"/>
      <x:c r="H82" s="22"/>
      <x:c r="I82" s="22"/>
      <x:c r="J82" s="28"/>
      <x:c r="K82" s="28"/>
      <x:c r="L82" s="22"/>
      <x:c r="M82" s="22"/>
      <x:c r="N82" s="22"/>
      <x:c r="O82" s="22"/>
    </x:row>
    <x:row r="83">
      <x:c r="A83" s="22"/>
      <x:c r="B83" s="22"/>
      <x:c r="C83" s="22"/>
      <x:c r="D83" s="22"/>
      <x:c r="E83" s="22"/>
      <x:c r="F83" s="24"/>
      <x:c r="G83" s="22"/>
      <x:c r="H83" s="22"/>
      <x:c r="I83" s="22"/>
      <x:c r="J83" s="28"/>
      <x:c r="K83" s="28"/>
      <x:c r="L83" s="22"/>
      <x:c r="M83" s="22"/>
      <x:c r="N83" s="22"/>
      <x:c r="O83" s="22"/>
    </x:row>
    <x:row r="84">
      <x:c r="A84" s="22"/>
      <x:c r="B84" s="22"/>
      <x:c r="C84" s="22"/>
      <x:c r="D84" s="22"/>
      <x:c r="E84" s="22"/>
      <x:c r="F84" s="24"/>
      <x:c r="G84" s="22"/>
      <x:c r="H84" s="22"/>
      <x:c r="I84" s="22"/>
      <x:c r="J84" s="28"/>
      <x:c r="K84" s="28"/>
      <x:c r="L84" s="22"/>
      <x:c r="M84" s="22"/>
      <x:c r="N84" s="22"/>
      <x:c r="O84" s="22"/>
    </x:row>
    <x:row r="85">
      <x:c r="A85" s="22"/>
      <x:c r="B85" s="22"/>
      <x:c r="C85" s="22"/>
      <x:c r="D85" s="22"/>
      <x:c r="E85" s="22"/>
      <x:c r="F85" s="24"/>
      <x:c r="G85" s="22"/>
      <x:c r="H85" s="22"/>
      <x:c r="I85" s="22"/>
      <x:c r="J85" s="28"/>
      <x:c r="K85" s="28"/>
      <x:c r="L85" s="22"/>
      <x:c r="M85" s="22"/>
      <x:c r="N85" s="22"/>
      <x:c r="O85" s="22"/>
    </x:row>
    <x:row r="86">
      <x:c r="A86" s="22"/>
      <x:c r="B86" s="22"/>
      <x:c r="C86" s="22"/>
      <x:c r="D86" s="22"/>
      <x:c r="E86" s="22"/>
      <x:c r="F86" s="24"/>
      <x:c r="G86" s="22"/>
      <x:c r="H86" s="22"/>
      <x:c r="I86" s="22"/>
      <x:c r="J86" s="28"/>
      <x:c r="K86" s="28"/>
      <x:c r="L86" s="22"/>
      <x:c r="M86" s="22"/>
      <x:c r="N86" s="22"/>
      <x:c r="O86" s="22"/>
    </x:row>
    <x:row r="87">
      <x:c r="A87" s="22"/>
      <x:c r="B87" s="22"/>
      <x:c r="C87" s="22"/>
      <x:c r="D87" s="22"/>
      <x:c r="E87" s="22"/>
      <x:c r="F87" s="24"/>
      <x:c r="G87" s="22"/>
      <x:c r="H87" s="22"/>
      <x:c r="I87" s="22"/>
      <x:c r="J87" s="28"/>
      <x:c r="K87" s="28"/>
      <x:c r="L87" s="22"/>
      <x:c r="M87" s="22"/>
      <x:c r="N87" s="22"/>
      <x:c r="O87" s="22"/>
    </x:row>
    <x:row r="88">
      <x:c r="A88" s="22"/>
      <x:c r="B88" s="22"/>
      <x:c r="C88" s="22"/>
      <x:c r="D88" s="22"/>
      <x:c r="E88" s="22"/>
      <x:c r="F88" s="24"/>
      <x:c r="G88" s="22"/>
      <x:c r="H88" s="22"/>
      <x:c r="I88" s="22"/>
      <x:c r="J88" s="28"/>
      <x:c r="K88" s="28"/>
      <x:c r="L88" s="22"/>
      <x:c r="M88" s="22"/>
      <x:c r="N88" s="22"/>
      <x:c r="O88" s="22"/>
    </x:row>
    <x:row r="89">
      <x:c r="A89" s="22"/>
      <x:c r="B89" s="22"/>
      <x:c r="C89" s="22"/>
      <x:c r="D89" s="22"/>
      <x:c r="E89" s="22"/>
      <x:c r="F89" s="24"/>
      <x:c r="G89" s="22"/>
      <x:c r="H89" s="22"/>
      <x:c r="I89" s="22"/>
      <x:c r="J89" s="28"/>
      <x:c r="K89" s="28"/>
      <x:c r="L89" s="22"/>
      <x:c r="M89" s="22"/>
      <x:c r="N89" s="22"/>
      <x:c r="O89" s="22"/>
    </x:row>
    <x:row r="90">
      <x:c r="A90" s="22"/>
      <x:c r="B90" s="22"/>
      <x:c r="C90" s="22"/>
      <x:c r="D90" s="22"/>
      <x:c r="E90" s="22"/>
      <x:c r="F90" s="24"/>
      <x:c r="G90" s="22"/>
      <x:c r="H90" s="22"/>
      <x:c r="I90" s="22"/>
      <x:c r="J90" s="28"/>
      <x:c r="K90" s="28"/>
      <x:c r="L90" s="22"/>
      <x:c r="M90" s="22"/>
      <x:c r="N90" s="22"/>
      <x:c r="O90" s="22"/>
    </x:row>
    <x:row r="91">
      <x:c r="A91" s="22"/>
      <x:c r="B91" s="22"/>
      <x:c r="C91" s="22"/>
      <x:c r="D91" s="22"/>
      <x:c r="E91" s="22"/>
      <x:c r="F91" s="24"/>
      <x:c r="G91" s="22"/>
      <x:c r="H91" s="22"/>
      <x:c r="I91" s="22"/>
      <x:c r="J91" s="28"/>
      <x:c r="K91" s="28"/>
      <x:c r="L91" s="22"/>
      <x:c r="M91" s="22"/>
      <x:c r="N91" s="22"/>
      <x:c r="O91" s="22"/>
    </x:row>
    <x:row r="92">
      <x:c r="A92" s="22"/>
      <x:c r="B92" s="22"/>
      <x:c r="C92" s="22"/>
      <x:c r="D92" s="22"/>
      <x:c r="E92" s="22"/>
      <x:c r="F92" s="24"/>
      <x:c r="G92" s="22"/>
      <x:c r="H92" s="22"/>
      <x:c r="I92" s="22"/>
      <x:c r="J92" s="28"/>
      <x:c r="K92" s="28"/>
      <x:c r="L92" s="22"/>
      <x:c r="M92" s="22"/>
      <x:c r="N92" s="22"/>
      <x:c r="O92" s="22"/>
    </x:row>
    <x:row r="93">
      <x:c r="A93" s="22"/>
      <x:c r="B93" s="22"/>
      <x:c r="C93" s="22"/>
      <x:c r="D93" s="22"/>
      <x:c r="E93" s="22"/>
      <x:c r="F93" s="24"/>
      <x:c r="G93" s="22"/>
      <x:c r="H93" s="22"/>
      <x:c r="I93" s="22"/>
      <x:c r="J93" s="28"/>
      <x:c r="K93" s="28"/>
      <x:c r="L93" s="22"/>
      <x:c r="M93" s="22"/>
      <x:c r="N93" s="22"/>
      <x:c r="O93" s="22"/>
    </x:row>
    <x:row r="94">
      <x:c r="A94" s="22"/>
      <x:c r="B94" s="22"/>
      <x:c r="C94" s="22"/>
      <x:c r="D94" s="22"/>
      <x:c r="E94" s="22"/>
      <x:c r="F94" s="24"/>
      <x:c r="G94" s="22"/>
      <x:c r="H94" s="22"/>
      <x:c r="I94" s="22"/>
      <x:c r="J94" s="28"/>
      <x:c r="K94" s="28"/>
      <x:c r="L94" s="22"/>
      <x:c r="M94" s="22"/>
      <x:c r="N94" s="22"/>
      <x:c r="O94" s="22"/>
    </x:row>
    <x:row r="95">
      <x:c r="A95" s="22"/>
      <x:c r="B95" s="22"/>
      <x:c r="C95" s="22"/>
      <x:c r="D95" s="22"/>
      <x:c r="E95" s="22"/>
      <x:c r="F95" s="24"/>
      <x:c r="G95" s="22"/>
      <x:c r="H95" s="22"/>
      <x:c r="I95" s="22"/>
      <x:c r="J95" s="28"/>
      <x:c r="K95" s="28"/>
      <x:c r="L95" s="22"/>
      <x:c r="M95" s="22"/>
      <x:c r="N95" s="22"/>
      <x:c r="O95" s="22"/>
    </x:row>
    <x:row r="96">
      <x:c r="A96" s="22"/>
      <x:c r="B96" s="22"/>
      <x:c r="C96" s="22"/>
      <x:c r="D96" s="22"/>
      <x:c r="E96" s="22"/>
      <x:c r="F96" s="24"/>
      <x:c r="G96" s="22"/>
      <x:c r="H96" s="22"/>
      <x:c r="I96" s="22"/>
      <x:c r="J96" s="28"/>
      <x:c r="K96" s="28"/>
      <x:c r="L96" s="22"/>
      <x:c r="M96" s="22"/>
      <x:c r="N96" s="22"/>
      <x:c r="O96" s="22"/>
    </x:row>
    <x:row r="97">
      <x:c r="A97" s="22"/>
      <x:c r="B97" s="22"/>
      <x:c r="C97" s="22"/>
      <x:c r="D97" s="22"/>
      <x:c r="E97" s="22"/>
      <x:c r="F97" s="24"/>
      <x:c r="G97" s="22"/>
      <x:c r="H97" s="22"/>
      <x:c r="I97" s="22"/>
      <x:c r="J97" s="28"/>
      <x:c r="K97" s="28"/>
      <x:c r="L97" s="22"/>
      <x:c r="M97" s="22"/>
      <x:c r="N97" s="22"/>
      <x:c r="O97" s="22"/>
    </x:row>
    <x:row r="98">
      <x:c r="A98" s="22"/>
      <x:c r="B98" s="22"/>
      <x:c r="C98" s="22"/>
      <x:c r="D98" s="22"/>
      <x:c r="E98" s="22"/>
      <x:c r="F98" s="24"/>
      <x:c r="G98" s="22"/>
      <x:c r="H98" s="22"/>
      <x:c r="I98" s="22"/>
      <x:c r="J98" s="28"/>
      <x:c r="K98" s="28"/>
      <x:c r="L98" s="22"/>
      <x:c r="M98" s="22"/>
      <x:c r="N98" s="22"/>
      <x:c r="O98" s="22"/>
    </x:row>
    <x:row r="99">
      <x:c r="A99" s="22"/>
      <x:c r="B99" s="22"/>
      <x:c r="C99" s="22"/>
      <x:c r="D99" s="22"/>
      <x:c r="E99" s="22"/>
      <x:c r="F99" s="24"/>
      <x:c r="G99" s="22"/>
      <x:c r="H99" s="22"/>
      <x:c r="I99" s="22"/>
      <x:c r="J99" s="28"/>
      <x:c r="K99" s="28"/>
      <x:c r="L99" s="22"/>
      <x:c r="M99" s="22"/>
      <x:c r="N99" s="22"/>
      <x:c r="O99" s="22"/>
    </x:row>
    <x:row r="100">
      <x:c r="A100" s="22"/>
      <x:c r="B100" s="22"/>
      <x:c r="C100" s="22"/>
      <x:c r="D100" s="22"/>
      <x:c r="E100" s="22"/>
      <x:c r="F100" s="24"/>
      <x:c r="G100" s="22"/>
      <x:c r="H100" s="22"/>
      <x:c r="I100" s="22"/>
      <x:c r="J100" s="28"/>
      <x:c r="K100" s="28"/>
      <x:c r="L100" s="22"/>
      <x:c r="M100" s="22"/>
      <x:c r="N100" s="22"/>
      <x:c r="O100" s="22"/>
    </x:row>
    <x:row r="105" ht="30" customHeight="1">
      <x:c r="A105" s="16" t="str">
        <x:v>Receipt_ID</x:v>
      </x:c>
      <x:c r="B105" s="16" t="str">
        <x:v>Ngày</x:v>
      </x:c>
      <x:c r="C105" s="16" t="str">
        <x:v>Transaction_ID</x:v>
      </x:c>
      <x:c r="D105" s="16" t="str">
        <x:v>Drive_File_ID</x:v>
      </x:c>
      <x:c r="E105" s="16" t="str">
        <x:v>Drive_URL</x:v>
      </x:c>
      <x:c r="F105" s="16" t="str">
        <x:v>Tên file</x:v>
      </x:c>
      <x:c r="G105" s="16" t="str">
        <x:v>Loại file</x:v>
      </x:c>
      <x:c r="H105" s="16" t="str">
        <x:v>Người tải</x:v>
      </x:c>
      <x:c r="I105" s="16" t="str">
        <x:v>OCR_Status</x:v>
      </x:c>
      <x:c r="J105" s="16" t="str">
        <x:v>OCR_Text</x:v>
      </x:c>
      <x:c r="K105" s="16" t="str">
        <x:v>Ghi chú</x:v>
      </x:c>
    </x:row>
    <x:row r="106">
      <x:c r="A106" s="22"/>
      <x:c r="B106" s="28"/>
      <x:c r="C106" s="22"/>
      <x:c r="D106" s="22"/>
      <x:c r="E106" s="22"/>
      <x:c r="F106" s="22"/>
      <x:c r="G106" s="22"/>
      <x:c r="H106" s="22"/>
      <x:c r="I106" s="22"/>
      <x:c r="J106" s="22"/>
      <x:c r="K106" s="22"/>
    </x:row>
    <x:row r="107">
      <x:c r="A107" s="22"/>
      <x:c r="B107" s="28"/>
      <x:c r="C107" s="22"/>
      <x:c r="D107" s="22"/>
      <x:c r="E107" s="22"/>
      <x:c r="F107" s="22"/>
      <x:c r="G107" s="22"/>
      <x:c r="H107" s="22"/>
      <x:c r="I107" s="22"/>
      <x:c r="J107" s="22"/>
      <x:c r="K107" s="22"/>
    </x:row>
    <x:row r="108">
      <x:c r="A108" s="22"/>
      <x:c r="B108" s="28"/>
      <x:c r="C108" s="22"/>
      <x:c r="D108" s="22"/>
      <x:c r="E108" s="22"/>
      <x:c r="F108" s="22"/>
      <x:c r="G108" s="22"/>
      <x:c r="H108" s="22"/>
      <x:c r="I108" s="22"/>
      <x:c r="J108" s="22"/>
      <x:c r="K108" s="22"/>
    </x:row>
    <x:row r="109">
      <x:c r="A109" s="22"/>
      <x:c r="B109" s="28"/>
      <x:c r="C109" s="22"/>
      <x:c r="D109" s="22"/>
      <x:c r="E109" s="22"/>
      <x:c r="F109" s="22"/>
      <x:c r="G109" s="22"/>
      <x:c r="H109" s="22"/>
      <x:c r="I109" s="22"/>
      <x:c r="J109" s="22"/>
      <x:c r="K109" s="22"/>
    </x:row>
    <x:row r="110">
      <x:c r="A110" s="22"/>
      <x:c r="B110" s="28"/>
      <x:c r="C110" s="22"/>
      <x:c r="D110" s="22"/>
      <x:c r="E110" s="22"/>
      <x:c r="F110" s="22"/>
      <x:c r="G110" s="22"/>
      <x:c r="H110" s="22"/>
      <x:c r="I110" s="22"/>
      <x:c r="J110" s="22"/>
      <x:c r="K110" s="22"/>
    </x:row>
    <x:row r="111">
      <x:c r="A111" s="22"/>
      <x:c r="B111" s="28"/>
      <x:c r="C111" s="22"/>
      <x:c r="D111" s="22"/>
      <x:c r="E111" s="22"/>
      <x:c r="F111" s="22"/>
      <x:c r="G111" s="22"/>
      <x:c r="H111" s="22"/>
      <x:c r="I111" s="22"/>
      <x:c r="J111" s="22"/>
      <x:c r="K111" s="22"/>
    </x:row>
    <x:row r="112">
      <x:c r="A112" s="22"/>
      <x:c r="B112" s="28"/>
      <x:c r="C112" s="22"/>
      <x:c r="D112" s="22"/>
      <x:c r="E112" s="22"/>
      <x:c r="F112" s="22"/>
      <x:c r="G112" s="22"/>
      <x:c r="H112" s="22"/>
      <x:c r="I112" s="22"/>
      <x:c r="J112" s="22"/>
      <x:c r="K112" s="22"/>
    </x:row>
    <x:row r="113">
      <x:c r="A113" s="22"/>
      <x:c r="B113" s="28"/>
      <x:c r="C113" s="22"/>
      <x:c r="D113" s="22"/>
      <x:c r="E113" s="22"/>
      <x:c r="F113" s="22"/>
      <x:c r="G113" s="22"/>
      <x:c r="H113" s="22"/>
      <x:c r="I113" s="22"/>
      <x:c r="J113" s="22"/>
      <x:c r="K113" s="22"/>
    </x:row>
    <x:row r="114">
      <x:c r="A114" s="22"/>
      <x:c r="B114" s="28"/>
      <x:c r="C114" s="22"/>
      <x:c r="D114" s="22"/>
      <x:c r="E114" s="22"/>
      <x:c r="F114" s="22"/>
      <x:c r="G114" s="22"/>
      <x:c r="H114" s="22"/>
      <x:c r="I114" s="22"/>
      <x:c r="J114" s="22"/>
      <x:c r="K114" s="22"/>
    </x:row>
    <x:row r="115">
      <x:c r="A115" s="22"/>
      <x:c r="B115" s="28"/>
      <x:c r="C115" s="22"/>
      <x:c r="D115" s="22"/>
      <x:c r="E115" s="22"/>
      <x:c r="F115" s="22"/>
      <x:c r="G115" s="22"/>
      <x:c r="H115" s="22"/>
      <x:c r="I115" s="22"/>
      <x:c r="J115" s="22"/>
      <x:c r="K115" s="22"/>
    </x:row>
    <x:row r="116">
      <x:c r="A116" s="22"/>
      <x:c r="B116" s="28"/>
      <x:c r="C116" s="22"/>
      <x:c r="D116" s="22"/>
      <x:c r="E116" s="22"/>
      <x:c r="F116" s="22"/>
      <x:c r="G116" s="22"/>
      <x:c r="H116" s="22"/>
      <x:c r="I116" s="22"/>
      <x:c r="J116" s="22"/>
      <x:c r="K116" s="22"/>
    </x:row>
    <x:row r="117">
      <x:c r="A117" s="22"/>
      <x:c r="B117" s="28"/>
      <x:c r="C117" s="22"/>
      <x:c r="D117" s="22"/>
      <x:c r="E117" s="22"/>
      <x:c r="F117" s="22"/>
      <x:c r="G117" s="22"/>
      <x:c r="H117" s="22"/>
      <x:c r="I117" s="22"/>
      <x:c r="J117" s="22"/>
      <x:c r="K117" s="22"/>
    </x:row>
    <x:row r="118">
      <x:c r="A118" s="22"/>
      <x:c r="B118" s="28"/>
      <x:c r="C118" s="22"/>
      <x:c r="D118" s="22"/>
      <x:c r="E118" s="22"/>
      <x:c r="F118" s="22"/>
      <x:c r="G118" s="22"/>
      <x:c r="H118" s="22"/>
      <x:c r="I118" s="22"/>
      <x:c r="J118" s="22"/>
      <x:c r="K118" s="22"/>
    </x:row>
    <x:row r="119">
      <x:c r="A119" s="22"/>
      <x:c r="B119" s="28"/>
      <x:c r="C119" s="22"/>
      <x:c r="D119" s="22"/>
      <x:c r="E119" s="22"/>
      <x:c r="F119" s="22"/>
      <x:c r="G119" s="22"/>
      <x:c r="H119" s="22"/>
      <x:c r="I119" s="22"/>
      <x:c r="J119" s="22"/>
      <x:c r="K119" s="22"/>
    </x:row>
    <x:row r="120">
      <x:c r="A120" s="22"/>
      <x:c r="B120" s="28"/>
      <x:c r="C120" s="22"/>
      <x:c r="D120" s="22"/>
      <x:c r="E120" s="22"/>
      <x:c r="F120" s="22"/>
      <x:c r="G120" s="22"/>
      <x:c r="H120" s="22"/>
      <x:c r="I120" s="22"/>
      <x:c r="J120" s="22"/>
      <x:c r="K120" s="22"/>
    </x:row>
    <x:row r="121">
      <x:c r="A121" s="22"/>
      <x:c r="B121" s="28"/>
      <x:c r="C121" s="22"/>
      <x:c r="D121" s="22"/>
      <x:c r="E121" s="22"/>
      <x:c r="F121" s="22"/>
      <x:c r="G121" s="22"/>
      <x:c r="H121" s="22"/>
      <x:c r="I121" s="22"/>
      <x:c r="J121" s="22"/>
      <x:c r="K121" s="22"/>
    </x:row>
    <x:row r="122">
      <x:c r="A122" s="22"/>
      <x:c r="B122" s="28"/>
      <x:c r="C122" s="22"/>
      <x:c r="D122" s="22"/>
      <x:c r="E122" s="22"/>
      <x:c r="F122" s="22"/>
      <x:c r="G122" s="22"/>
      <x:c r="H122" s="22"/>
      <x:c r="I122" s="22"/>
      <x:c r="J122" s="22"/>
      <x:c r="K122" s="22"/>
    </x:row>
    <x:row r="123">
      <x:c r="A123" s="22"/>
      <x:c r="B123" s="28"/>
      <x:c r="C123" s="22"/>
      <x:c r="D123" s="22"/>
      <x:c r="E123" s="22"/>
      <x:c r="F123" s="22"/>
      <x:c r="G123" s="22"/>
      <x:c r="H123" s="22"/>
      <x:c r="I123" s="22"/>
      <x:c r="J123" s="22"/>
      <x:c r="K123" s="22"/>
    </x:row>
    <x:row r="124">
      <x:c r="A124" s="22"/>
      <x:c r="B124" s="28"/>
      <x:c r="C124" s="22"/>
      <x:c r="D124" s="22"/>
      <x:c r="E124" s="22"/>
      <x:c r="F124" s="22"/>
      <x:c r="G124" s="22"/>
      <x:c r="H124" s="22"/>
      <x:c r="I124" s="22"/>
      <x:c r="J124" s="22"/>
      <x:c r="K124" s="22"/>
    </x:row>
    <x:row r="125">
      <x:c r="A125" s="22"/>
      <x:c r="B125" s="28"/>
      <x:c r="C125" s="22"/>
      <x:c r="D125" s="22"/>
      <x:c r="E125" s="22"/>
      <x:c r="F125" s="22"/>
      <x:c r="G125" s="22"/>
      <x:c r="H125" s="22"/>
      <x:c r="I125" s="22"/>
      <x:c r="J125" s="22"/>
      <x:c r="K125" s="22"/>
    </x:row>
    <x:row r="126">
      <x:c r="A126" s="22"/>
      <x:c r="B126" s="28"/>
      <x:c r="C126" s="22"/>
      <x:c r="D126" s="22"/>
      <x:c r="E126" s="22"/>
      <x:c r="F126" s="22"/>
      <x:c r="G126" s="22"/>
      <x:c r="H126" s="22"/>
      <x:c r="I126" s="22"/>
      <x:c r="J126" s="22"/>
      <x:c r="K126" s="22"/>
    </x:row>
    <x:row r="127">
      <x:c r="A127" s="22"/>
      <x:c r="B127" s="28"/>
      <x:c r="C127" s="22"/>
      <x:c r="D127" s="22"/>
      <x:c r="E127" s="22"/>
      <x:c r="F127" s="22"/>
      <x:c r="G127" s="22"/>
      <x:c r="H127" s="22"/>
      <x:c r="I127" s="22"/>
      <x:c r="J127" s="22"/>
      <x:c r="K127" s="22"/>
    </x:row>
    <x:row r="128">
      <x:c r="A128" s="22"/>
      <x:c r="B128" s="28"/>
      <x:c r="C128" s="22"/>
      <x:c r="D128" s="22"/>
      <x:c r="E128" s="22"/>
      <x:c r="F128" s="22"/>
      <x:c r="G128" s="22"/>
      <x:c r="H128" s="22"/>
      <x:c r="I128" s="22"/>
      <x:c r="J128" s="22"/>
      <x:c r="K128" s="22"/>
    </x:row>
    <x:row r="129">
      <x:c r="A129" s="22"/>
      <x:c r="B129" s="28"/>
      <x:c r="C129" s="22"/>
      <x:c r="D129" s="22"/>
      <x:c r="E129" s="22"/>
      <x:c r="F129" s="22"/>
      <x:c r="G129" s="22"/>
      <x:c r="H129" s="22"/>
      <x:c r="I129" s="22"/>
      <x:c r="J129" s="22"/>
      <x:c r="K129" s="22"/>
    </x:row>
    <x:row r="130">
      <x:c r="A130" s="22"/>
      <x:c r="B130" s="28"/>
      <x:c r="C130" s="22"/>
      <x:c r="D130" s="22"/>
      <x:c r="E130" s="22"/>
      <x:c r="F130" s="22"/>
      <x:c r="G130" s="22"/>
      <x:c r="H130" s="22"/>
      <x:c r="I130" s="22"/>
      <x:c r="J130" s="22"/>
      <x:c r="K130" s="22"/>
    </x:row>
    <x:row r="131">
      <x:c r="A131" s="22"/>
      <x:c r="B131" s="28"/>
      <x:c r="C131" s="22"/>
      <x:c r="D131" s="22"/>
      <x:c r="E131" s="22"/>
      <x:c r="F131" s="22"/>
      <x:c r="G131" s="22"/>
      <x:c r="H131" s="22"/>
      <x:c r="I131" s="22"/>
      <x:c r="J131" s="22"/>
      <x:c r="K131" s="22"/>
    </x:row>
    <x:row r="132">
      <x:c r="A132" s="22"/>
      <x:c r="B132" s="28"/>
      <x:c r="C132" s="22"/>
      <x:c r="D132" s="22"/>
      <x:c r="E132" s="22"/>
      <x:c r="F132" s="22"/>
      <x:c r="G132" s="22"/>
      <x:c r="H132" s="22"/>
      <x:c r="I132" s="22"/>
      <x:c r="J132" s="22"/>
      <x:c r="K132" s="22"/>
    </x:row>
    <x:row r="133">
      <x:c r="A133" s="22"/>
      <x:c r="B133" s="28"/>
      <x:c r="C133" s="22"/>
      <x:c r="D133" s="22"/>
      <x:c r="E133" s="22"/>
      <x:c r="F133" s="22"/>
      <x:c r="G133" s="22"/>
      <x:c r="H133" s="22"/>
      <x:c r="I133" s="22"/>
      <x:c r="J133" s="22"/>
      <x:c r="K133" s="22"/>
    </x:row>
    <x:row r="134">
      <x:c r="A134" s="22"/>
      <x:c r="B134" s="28"/>
      <x:c r="C134" s="22"/>
      <x:c r="D134" s="22"/>
      <x:c r="E134" s="22"/>
      <x:c r="F134" s="22"/>
      <x:c r="G134" s="22"/>
      <x:c r="H134" s="22"/>
      <x:c r="I134" s="22"/>
      <x:c r="J134" s="22"/>
      <x:c r="K134" s="22"/>
    </x:row>
    <x:row r="135">
      <x:c r="A135" s="22"/>
      <x:c r="B135" s="28"/>
      <x:c r="C135" s="22"/>
      <x:c r="D135" s="22"/>
      <x:c r="E135" s="22"/>
      <x:c r="F135" s="22"/>
      <x:c r="G135" s="22"/>
      <x:c r="H135" s="22"/>
      <x:c r="I135" s="22"/>
      <x:c r="J135" s="22"/>
      <x:c r="K135" s="22"/>
    </x:row>
    <x:row r="136">
      <x:c r="A136" s="22"/>
      <x:c r="B136" s="28"/>
      <x:c r="C136" s="22"/>
      <x:c r="D136" s="22"/>
      <x:c r="E136" s="22"/>
      <x:c r="F136" s="22"/>
      <x:c r="G136" s="22"/>
      <x:c r="H136" s="22"/>
      <x:c r="I136" s="22"/>
      <x:c r="J136" s="22"/>
      <x:c r="K136" s="22"/>
    </x:row>
    <x:row r="137">
      <x:c r="A137" s="22"/>
      <x:c r="B137" s="28"/>
      <x:c r="C137" s="22"/>
      <x:c r="D137" s="22"/>
      <x:c r="E137" s="22"/>
      <x:c r="F137" s="22"/>
      <x:c r="G137" s="22"/>
      <x:c r="H137" s="22"/>
      <x:c r="I137" s="22"/>
      <x:c r="J137" s="22"/>
      <x:c r="K137" s="22"/>
    </x:row>
    <x:row r="138">
      <x:c r="A138" s="22"/>
      <x:c r="B138" s="28"/>
      <x:c r="C138" s="22"/>
      <x:c r="D138" s="22"/>
      <x:c r="E138" s="22"/>
      <x:c r="F138" s="22"/>
      <x:c r="G138" s="22"/>
      <x:c r="H138" s="22"/>
      <x:c r="I138" s="22"/>
      <x:c r="J138" s="22"/>
      <x:c r="K138" s="22"/>
    </x:row>
    <x:row r="139">
      <x:c r="A139" s="22"/>
      <x:c r="B139" s="28"/>
      <x:c r="C139" s="22"/>
      <x:c r="D139" s="22"/>
      <x:c r="E139" s="22"/>
      <x:c r="F139" s="22"/>
      <x:c r="G139" s="22"/>
      <x:c r="H139" s="22"/>
      <x:c r="I139" s="22"/>
      <x:c r="J139" s="22"/>
      <x:c r="K139" s="22"/>
    </x:row>
    <x:row r="140">
      <x:c r="A140" s="22"/>
      <x:c r="B140" s="28"/>
      <x:c r="C140" s="22"/>
      <x:c r="D140" s="22"/>
      <x:c r="E140" s="22"/>
      <x:c r="F140" s="22"/>
      <x:c r="G140" s="22"/>
      <x:c r="H140" s="22"/>
      <x:c r="I140" s="22"/>
      <x:c r="J140" s="22"/>
      <x:c r="K140" s="22"/>
    </x:row>
    <x:row r="141">
      <x:c r="A141" s="22"/>
      <x:c r="B141" s="28"/>
      <x:c r="C141" s="22"/>
      <x:c r="D141" s="22"/>
      <x:c r="E141" s="22"/>
      <x:c r="F141" s="22"/>
      <x:c r="G141" s="22"/>
      <x:c r="H141" s="22"/>
      <x:c r="I141" s="22"/>
      <x:c r="J141" s="22"/>
      <x:c r="K141" s="22"/>
    </x:row>
    <x:row r="142">
      <x:c r="A142" s="22"/>
      <x:c r="B142" s="28"/>
      <x:c r="C142" s="22"/>
      <x:c r="D142" s="22"/>
      <x:c r="E142" s="22"/>
      <x:c r="F142" s="22"/>
      <x:c r="G142" s="22"/>
      <x:c r="H142" s="22"/>
      <x:c r="I142" s="22"/>
      <x:c r="J142" s="22"/>
      <x:c r="K142" s="22"/>
    </x:row>
    <x:row r="143">
      <x:c r="A143" s="22"/>
      <x:c r="B143" s="28"/>
      <x:c r="C143" s="22"/>
      <x:c r="D143" s="22"/>
      <x:c r="E143" s="22"/>
      <x:c r="F143" s="22"/>
      <x:c r="G143" s="22"/>
      <x:c r="H143" s="22"/>
      <x:c r="I143" s="22"/>
      <x:c r="J143" s="22"/>
      <x:c r="K143" s="22"/>
    </x:row>
    <x:row r="144">
      <x:c r="A144" s="22"/>
      <x:c r="B144" s="28"/>
      <x:c r="C144" s="22"/>
      <x:c r="D144" s="22"/>
      <x:c r="E144" s="22"/>
      <x:c r="F144" s="22"/>
      <x:c r="G144" s="22"/>
      <x:c r="H144" s="22"/>
      <x:c r="I144" s="22"/>
      <x:c r="J144" s="22"/>
      <x:c r="K144" s="22"/>
    </x:row>
    <x:row r="145">
      <x:c r="A145" s="22"/>
      <x:c r="B145" s="28"/>
      <x:c r="C145" s="22"/>
      <x:c r="D145" s="22"/>
      <x:c r="E145" s="22"/>
      <x:c r="F145" s="22"/>
      <x:c r="G145" s="22"/>
      <x:c r="H145" s="22"/>
      <x:c r="I145" s="22"/>
      <x:c r="J145" s="22"/>
      <x:c r="K145" s="22"/>
    </x:row>
    <x:row r="146">
      <x:c r="A146" s="22"/>
      <x:c r="B146" s="28"/>
      <x:c r="C146" s="22"/>
      <x:c r="D146" s="22"/>
      <x:c r="E146" s="22"/>
      <x:c r="F146" s="22"/>
      <x:c r="G146" s="22"/>
      <x:c r="H146" s="22"/>
      <x:c r="I146" s="22"/>
      <x:c r="J146" s="22"/>
      <x:c r="K146" s="22"/>
    </x:row>
    <x:row r="147">
      <x:c r="A147" s="22"/>
      <x:c r="B147" s="28"/>
      <x:c r="C147" s="22"/>
      <x:c r="D147" s="22"/>
      <x:c r="E147" s="22"/>
      <x:c r="F147" s="22"/>
      <x:c r="G147" s="22"/>
      <x:c r="H147" s="22"/>
      <x:c r="I147" s="22"/>
      <x:c r="J147" s="22"/>
      <x:c r="K147" s="22"/>
    </x:row>
    <x:row r="148">
      <x:c r="A148" s="22"/>
      <x:c r="B148" s="28"/>
      <x:c r="C148" s="22"/>
      <x:c r="D148" s="22"/>
      <x:c r="E148" s="22"/>
      <x:c r="F148" s="22"/>
      <x:c r="G148" s="22"/>
      <x:c r="H148" s="22"/>
      <x:c r="I148" s="22"/>
      <x:c r="J148" s="22"/>
      <x:c r="K148" s="22"/>
    </x:row>
    <x:row r="149">
      <x:c r="A149" s="22"/>
      <x:c r="B149" s="28"/>
      <x:c r="C149" s="22"/>
      <x:c r="D149" s="22"/>
      <x:c r="E149" s="22"/>
      <x:c r="F149" s="22"/>
      <x:c r="G149" s="22"/>
      <x:c r="H149" s="22"/>
      <x:c r="I149" s="22"/>
      <x:c r="J149" s="22"/>
      <x:c r="K149" s="22"/>
    </x:row>
    <x:row r="150">
      <x:c r="A150" s="22"/>
      <x:c r="B150" s="28"/>
      <x:c r="C150" s="22"/>
      <x:c r="D150" s="22"/>
      <x:c r="E150" s="22"/>
      <x:c r="F150" s="22"/>
      <x:c r="G150" s="22"/>
      <x:c r="H150" s="22"/>
      <x:c r="I150" s="22"/>
      <x:c r="J150" s="22"/>
      <x:c r="K150" s="22"/>
    </x:row>
    <x:row r="151">
      <x:c r="A151" s="22"/>
      <x:c r="B151" s="28"/>
      <x:c r="C151" s="22"/>
      <x:c r="D151" s="22"/>
      <x:c r="E151" s="22"/>
      <x:c r="F151" s="22"/>
      <x:c r="G151" s="22"/>
      <x:c r="H151" s="22"/>
      <x:c r="I151" s="22"/>
      <x:c r="J151" s="22"/>
      <x:c r="K151" s="22"/>
    </x:row>
    <x:row r="152">
      <x:c r="A152" s="22"/>
      <x:c r="B152" s="28"/>
      <x:c r="C152" s="22"/>
      <x:c r="D152" s="22"/>
      <x:c r="E152" s="22"/>
      <x:c r="F152" s="22"/>
      <x:c r="G152" s="22"/>
      <x:c r="H152" s="22"/>
      <x:c r="I152" s="22"/>
      <x:c r="J152" s="22"/>
      <x:c r="K152" s="22"/>
    </x:row>
    <x:row r="153">
      <x:c r="A153" s="22"/>
      <x:c r="B153" s="28"/>
      <x:c r="C153" s="22"/>
      <x:c r="D153" s="22"/>
      <x:c r="E153" s="22"/>
      <x:c r="F153" s="22"/>
      <x:c r="G153" s="22"/>
      <x:c r="H153" s="22"/>
      <x:c r="I153" s="22"/>
      <x:c r="J153" s="22"/>
      <x:c r="K153" s="22"/>
    </x:row>
    <x:row r="154">
      <x:c r="A154" s="22"/>
      <x:c r="B154" s="28"/>
      <x:c r="C154" s="22"/>
      <x:c r="D154" s="22"/>
      <x:c r="E154" s="22"/>
      <x:c r="F154" s="22"/>
      <x:c r="G154" s="22"/>
      <x:c r="H154" s="22"/>
      <x:c r="I154" s="22"/>
      <x:c r="J154" s="22"/>
      <x:c r="K154" s="22"/>
    </x:row>
    <x:row r="155">
      <x:c r="A155" s="22"/>
      <x:c r="B155" s="28"/>
      <x:c r="C155" s="22"/>
      <x:c r="D155" s="22"/>
      <x:c r="E155" s="22"/>
      <x:c r="F155" s="22"/>
      <x:c r="G155" s="22"/>
      <x:c r="H155" s="22"/>
      <x:c r="I155" s="22"/>
      <x:c r="J155" s="22"/>
      <x:c r="K155" s="22"/>
    </x:row>
    <x:row r="156">
      <x:c r="A156" s="22"/>
      <x:c r="B156" s="28"/>
      <x:c r="C156" s="22"/>
      <x:c r="D156" s="22"/>
      <x:c r="E156" s="22"/>
      <x:c r="F156" s="22"/>
      <x:c r="G156" s="22"/>
      <x:c r="H156" s="22"/>
      <x:c r="I156" s="22"/>
      <x:c r="J156" s="22"/>
      <x:c r="K156" s="22"/>
    </x:row>
    <x:row r="157">
      <x:c r="A157" s="22"/>
      <x:c r="B157" s="28"/>
      <x:c r="C157" s="22"/>
      <x:c r="D157" s="22"/>
      <x:c r="E157" s="22"/>
      <x:c r="F157" s="22"/>
      <x:c r="G157" s="22"/>
      <x:c r="H157" s="22"/>
      <x:c r="I157" s="22"/>
      <x:c r="J157" s="22"/>
      <x:c r="K157" s="22"/>
    </x:row>
    <x:row r="158">
      <x:c r="A158" s="22"/>
      <x:c r="B158" s="28"/>
      <x:c r="C158" s="22"/>
      <x:c r="D158" s="22"/>
      <x:c r="E158" s="22"/>
      <x:c r="F158" s="22"/>
      <x:c r="G158" s="22"/>
      <x:c r="H158" s="22"/>
      <x:c r="I158" s="22"/>
      <x:c r="J158" s="22"/>
      <x:c r="K158" s="22"/>
    </x:row>
    <x:row r="159">
      <x:c r="A159" s="22"/>
      <x:c r="B159" s="28"/>
      <x:c r="C159" s="22"/>
      <x:c r="D159" s="22"/>
      <x:c r="E159" s="22"/>
      <x:c r="F159" s="22"/>
      <x:c r="G159" s="22"/>
      <x:c r="H159" s="22"/>
      <x:c r="I159" s="22"/>
      <x:c r="J159" s="22"/>
      <x:c r="K159" s="22"/>
    </x:row>
    <x:row r="160">
      <x:c r="A160" s="22"/>
      <x:c r="B160" s="28"/>
      <x:c r="C160" s="22"/>
      <x:c r="D160" s="22"/>
      <x:c r="E160" s="22"/>
      <x:c r="F160" s="22"/>
      <x:c r="G160" s="22"/>
      <x:c r="H160" s="22"/>
      <x:c r="I160" s="22"/>
      <x:c r="J160" s="22"/>
      <x:c r="K160" s="22"/>
    </x:row>
    <x:row r="161">
      <x:c r="A161" s="22"/>
      <x:c r="B161" s="28"/>
      <x:c r="C161" s="22"/>
      <x:c r="D161" s="22"/>
      <x:c r="E161" s="22"/>
      <x:c r="F161" s="22"/>
      <x:c r="G161" s="22"/>
      <x:c r="H161" s="22"/>
      <x:c r="I161" s="22"/>
      <x:c r="J161" s="22"/>
      <x:c r="K161" s="22"/>
    </x:row>
    <x:row r="162">
      <x:c r="A162" s="22"/>
      <x:c r="B162" s="28"/>
      <x:c r="C162" s="22"/>
      <x:c r="D162" s="22"/>
      <x:c r="E162" s="22"/>
      <x:c r="F162" s="22"/>
      <x:c r="G162" s="22"/>
      <x:c r="H162" s="22"/>
      <x:c r="I162" s="22"/>
      <x:c r="J162" s="22"/>
      <x:c r="K162" s="22"/>
    </x:row>
    <x:row r="163">
      <x:c r="A163" s="22"/>
      <x:c r="B163" s="28"/>
      <x:c r="C163" s="22"/>
      <x:c r="D163" s="22"/>
      <x:c r="E163" s="22"/>
      <x:c r="F163" s="22"/>
      <x:c r="G163" s="22"/>
      <x:c r="H163" s="22"/>
      <x:c r="I163" s="22"/>
      <x:c r="J163" s="22"/>
      <x:c r="K163" s="22"/>
    </x:row>
    <x:row r="164">
      <x:c r="A164" s="22"/>
      <x:c r="B164" s="28"/>
      <x:c r="C164" s="22"/>
      <x:c r="D164" s="22"/>
      <x:c r="E164" s="22"/>
      <x:c r="F164" s="22"/>
      <x:c r="G164" s="22"/>
      <x:c r="H164" s="22"/>
      <x:c r="I164" s="22"/>
      <x:c r="J164" s="22"/>
      <x:c r="K164" s="22"/>
    </x:row>
    <x:row r="165">
      <x:c r="A165" s="22"/>
      <x:c r="B165" s="28"/>
      <x:c r="C165" s="22"/>
      <x:c r="D165" s="22"/>
      <x:c r="E165" s="22"/>
      <x:c r="F165" s="22"/>
      <x:c r="G165" s="22"/>
      <x:c r="H165" s="22"/>
      <x:c r="I165" s="22"/>
      <x:c r="J165" s="22"/>
      <x:c r="K165" s="22"/>
    </x:row>
    <x:row r="166">
      <x:c r="A166" s="22"/>
      <x:c r="B166" s="28"/>
      <x:c r="C166" s="22"/>
      <x:c r="D166" s="22"/>
      <x:c r="E166" s="22"/>
      <x:c r="F166" s="22"/>
      <x:c r="G166" s="22"/>
      <x:c r="H166" s="22"/>
      <x:c r="I166" s="22"/>
      <x:c r="J166" s="22"/>
      <x:c r="K166" s="22"/>
    </x:row>
    <x:row r="167">
      <x:c r="A167" s="22"/>
      <x:c r="B167" s="28"/>
      <x:c r="C167" s="22"/>
      <x:c r="D167" s="22"/>
      <x:c r="E167" s="22"/>
      <x:c r="F167" s="22"/>
      <x:c r="G167" s="22"/>
      <x:c r="H167" s="22"/>
      <x:c r="I167" s="22"/>
      <x:c r="J167" s="22"/>
      <x:c r="K167" s="22"/>
    </x:row>
    <x:row r="168">
      <x:c r="A168" s="22"/>
      <x:c r="B168" s="28"/>
      <x:c r="C168" s="22"/>
      <x:c r="D168" s="22"/>
      <x:c r="E168" s="22"/>
      <x:c r="F168" s="22"/>
      <x:c r="G168" s="22"/>
      <x:c r="H168" s="22"/>
      <x:c r="I168" s="22"/>
      <x:c r="J168" s="22"/>
      <x:c r="K168" s="22"/>
    </x:row>
    <x:row r="169">
      <x:c r="A169" s="22"/>
      <x:c r="B169" s="28"/>
      <x:c r="C169" s="22"/>
      <x:c r="D169" s="22"/>
      <x:c r="E169" s="22"/>
      <x:c r="F169" s="22"/>
      <x:c r="G169" s="22"/>
      <x:c r="H169" s="22"/>
      <x:c r="I169" s="22"/>
      <x:c r="J169" s="22"/>
      <x:c r="K169" s="22"/>
    </x:row>
    <x:row r="170">
      <x:c r="A170" s="22"/>
      <x:c r="B170" s="28"/>
      <x:c r="C170" s="22"/>
      <x:c r="D170" s="22"/>
      <x:c r="E170" s="22"/>
      <x:c r="F170" s="22"/>
      <x:c r="G170" s="22"/>
      <x:c r="H170" s="22"/>
      <x:c r="I170" s="22"/>
      <x:c r="J170" s="22"/>
      <x:c r="K170" s="22"/>
    </x:row>
    <x:row r="171">
      <x:c r="A171" s="22"/>
      <x:c r="B171" s="28"/>
      <x:c r="C171" s="22"/>
      <x:c r="D171" s="22"/>
      <x:c r="E171" s="22"/>
      <x:c r="F171" s="22"/>
      <x:c r="G171" s="22"/>
      <x:c r="H171" s="22"/>
      <x:c r="I171" s="22"/>
      <x:c r="J171" s="22"/>
      <x:c r="K171" s="22"/>
    </x:row>
    <x:row r="172">
      <x:c r="A172" s="22"/>
      <x:c r="B172" s="28"/>
      <x:c r="C172" s="22"/>
      <x:c r="D172" s="22"/>
      <x:c r="E172" s="22"/>
      <x:c r="F172" s="22"/>
      <x:c r="G172" s="22"/>
      <x:c r="H172" s="22"/>
      <x:c r="I172" s="22"/>
      <x:c r="J172" s="22"/>
      <x:c r="K172" s="22"/>
    </x:row>
    <x:row r="173">
      <x:c r="A173" s="22"/>
      <x:c r="B173" s="28"/>
      <x:c r="C173" s="22"/>
      <x:c r="D173" s="22"/>
      <x:c r="E173" s="22"/>
      <x:c r="F173" s="22"/>
      <x:c r="G173" s="22"/>
      <x:c r="H173" s="22"/>
      <x:c r="I173" s="22"/>
      <x:c r="J173" s="22"/>
      <x:c r="K173" s="22"/>
    </x:row>
    <x:row r="174">
      <x:c r="A174" s="22"/>
      <x:c r="B174" s="28"/>
      <x:c r="C174" s="22"/>
      <x:c r="D174" s="22"/>
      <x:c r="E174" s="22"/>
      <x:c r="F174" s="22"/>
      <x:c r="G174" s="22"/>
      <x:c r="H174" s="22"/>
      <x:c r="I174" s="22"/>
      <x:c r="J174" s="22"/>
      <x:c r="K174" s="22"/>
    </x:row>
    <x:row r="175">
      <x:c r="A175" s="22"/>
      <x:c r="B175" s="28"/>
      <x:c r="C175" s="22"/>
      <x:c r="D175" s="22"/>
      <x:c r="E175" s="22"/>
      <x:c r="F175" s="22"/>
      <x:c r="G175" s="22"/>
      <x:c r="H175" s="22"/>
      <x:c r="I175" s="22"/>
      <x:c r="J175" s="22"/>
      <x:c r="K175" s="22"/>
    </x:row>
    <x:row r="176">
      <x:c r="A176" s="22"/>
      <x:c r="B176" s="28"/>
      <x:c r="C176" s="22"/>
      <x:c r="D176" s="22"/>
      <x:c r="E176" s="22"/>
      <x:c r="F176" s="22"/>
      <x:c r="G176" s="22"/>
      <x:c r="H176" s="22"/>
      <x:c r="I176" s="22"/>
      <x:c r="J176" s="22"/>
      <x:c r="K176" s="22"/>
    </x:row>
    <x:row r="177">
      <x:c r="A177" s="22"/>
      <x:c r="B177" s="28"/>
      <x:c r="C177" s="22"/>
      <x:c r="D177" s="22"/>
      <x:c r="E177" s="22"/>
      <x:c r="F177" s="22"/>
      <x:c r="G177" s="22"/>
      <x:c r="H177" s="22"/>
      <x:c r="I177" s="22"/>
      <x:c r="J177" s="22"/>
      <x:c r="K177" s="22"/>
    </x:row>
    <x:row r="178">
      <x:c r="A178" s="22"/>
      <x:c r="B178" s="28"/>
      <x:c r="C178" s="22"/>
      <x:c r="D178" s="22"/>
      <x:c r="E178" s="22"/>
      <x:c r="F178" s="22"/>
      <x:c r="G178" s="22"/>
      <x:c r="H178" s="22"/>
      <x:c r="I178" s="22"/>
      <x:c r="J178" s="22"/>
      <x:c r="K178" s="22"/>
    </x:row>
    <x:row r="179">
      <x:c r="A179" s="22"/>
      <x:c r="B179" s="28"/>
      <x:c r="C179" s="22"/>
      <x:c r="D179" s="22"/>
      <x:c r="E179" s="22"/>
      <x:c r="F179" s="22"/>
      <x:c r="G179" s="22"/>
      <x:c r="H179" s="22"/>
      <x:c r="I179" s="22"/>
      <x:c r="J179" s="22"/>
      <x:c r="K179" s="22"/>
    </x:row>
    <x:row r="180">
      <x:c r="A180" s="22"/>
      <x:c r="B180" s="28"/>
      <x:c r="C180" s="22"/>
      <x:c r="D180" s="22"/>
      <x:c r="E180" s="22"/>
      <x:c r="F180" s="22"/>
      <x:c r="G180" s="22"/>
      <x:c r="H180" s="22"/>
      <x:c r="I180" s="22"/>
      <x:c r="J180" s="22"/>
      <x:c r="K180" s="22"/>
    </x:row>
    <x:row r="181">
      <x:c r="A181" s="22"/>
      <x:c r="B181" s="28"/>
      <x:c r="C181" s="22"/>
      <x:c r="D181" s="22"/>
      <x:c r="E181" s="22"/>
      <x:c r="F181" s="22"/>
      <x:c r="G181" s="22"/>
      <x:c r="H181" s="22"/>
      <x:c r="I181" s="22"/>
      <x:c r="J181" s="22"/>
      <x:c r="K181" s="22"/>
    </x:row>
    <x:row r="182">
      <x:c r="A182" s="22"/>
      <x:c r="B182" s="28"/>
      <x:c r="C182" s="22"/>
      <x:c r="D182" s="22"/>
      <x:c r="E182" s="22"/>
      <x:c r="F182" s="22"/>
      <x:c r="G182" s="22"/>
      <x:c r="H182" s="22"/>
      <x:c r="I182" s="22"/>
      <x:c r="J182" s="22"/>
      <x:c r="K182" s="22"/>
    </x:row>
    <x:row r="183">
      <x:c r="A183" s="22"/>
      <x:c r="B183" s="28"/>
      <x:c r="C183" s="22"/>
      <x:c r="D183" s="22"/>
      <x:c r="E183" s="22"/>
      <x:c r="F183" s="22"/>
      <x:c r="G183" s="22"/>
      <x:c r="H183" s="22"/>
      <x:c r="I183" s="22"/>
      <x:c r="J183" s="22"/>
      <x:c r="K183" s="22"/>
    </x:row>
    <x:row r="184">
      <x:c r="A184" s="22"/>
      <x:c r="B184" s="28"/>
      <x:c r="C184" s="22"/>
      <x:c r="D184" s="22"/>
      <x:c r="E184" s="22"/>
      <x:c r="F184" s="22"/>
      <x:c r="G184" s="22"/>
      <x:c r="H184" s="22"/>
      <x:c r="I184" s="22"/>
      <x:c r="J184" s="22"/>
      <x:c r="K184" s="22"/>
    </x:row>
    <x:row r="185">
      <x:c r="A185" s="22"/>
      <x:c r="B185" s="28"/>
      <x:c r="C185" s="22"/>
      <x:c r="D185" s="22"/>
      <x:c r="E185" s="22"/>
      <x:c r="F185" s="22"/>
      <x:c r="G185" s="22"/>
      <x:c r="H185" s="22"/>
      <x:c r="I185" s="22"/>
      <x:c r="J185" s="22"/>
      <x:c r="K185" s="22"/>
    </x:row>
    <x:row r="186">
      <x:c r="A186" s="22"/>
      <x:c r="B186" s="28"/>
      <x:c r="C186" s="22"/>
      <x:c r="D186" s="22"/>
      <x:c r="E186" s="22"/>
      <x:c r="F186" s="22"/>
      <x:c r="G186" s="22"/>
      <x:c r="H186" s="22"/>
      <x:c r="I186" s="22"/>
      <x:c r="J186" s="22"/>
      <x:c r="K186" s="22"/>
    </x:row>
    <x:row r="187">
      <x:c r="A187" s="22"/>
      <x:c r="B187" s="28"/>
      <x:c r="C187" s="22"/>
      <x:c r="D187" s="22"/>
      <x:c r="E187" s="22"/>
      <x:c r="F187" s="22"/>
      <x:c r="G187" s="22"/>
      <x:c r="H187" s="22"/>
      <x:c r="I187" s="22"/>
      <x:c r="J187" s="22"/>
      <x:c r="K187" s="22"/>
    </x:row>
    <x:row r="188">
      <x:c r="A188" s="22"/>
      <x:c r="B188" s="28"/>
      <x:c r="C188" s="22"/>
      <x:c r="D188" s="22"/>
      <x:c r="E188" s="22"/>
      <x:c r="F188" s="22"/>
      <x:c r="G188" s="22"/>
      <x:c r="H188" s="22"/>
      <x:c r="I188" s="22"/>
      <x:c r="J188" s="22"/>
      <x:c r="K188" s="22"/>
    </x:row>
    <x:row r="189">
      <x:c r="A189" s="22"/>
      <x:c r="B189" s="28"/>
      <x:c r="C189" s="22"/>
      <x:c r="D189" s="22"/>
      <x:c r="E189" s="22"/>
      <x:c r="F189" s="22"/>
      <x:c r="G189" s="22"/>
      <x:c r="H189" s="22"/>
      <x:c r="I189" s="22"/>
      <x:c r="J189" s="22"/>
      <x:c r="K189" s="22"/>
    </x:row>
    <x:row r="190">
      <x:c r="A190" s="22"/>
      <x:c r="B190" s="28"/>
      <x:c r="C190" s="22"/>
      <x:c r="D190" s="22"/>
      <x:c r="E190" s="22"/>
      <x:c r="F190" s="22"/>
      <x:c r="G190" s="22"/>
      <x:c r="H190" s="22"/>
      <x:c r="I190" s="22"/>
      <x:c r="J190" s="22"/>
      <x:c r="K190" s="22"/>
    </x:row>
    <x:row r="191">
      <x:c r="A191" s="22"/>
      <x:c r="B191" s="28"/>
      <x:c r="C191" s="22"/>
      <x:c r="D191" s="22"/>
      <x:c r="E191" s="22"/>
      <x:c r="F191" s="22"/>
      <x:c r="G191" s="22"/>
      <x:c r="H191" s="22"/>
      <x:c r="I191" s="22"/>
      <x:c r="J191" s="22"/>
      <x:c r="K191" s="22"/>
    </x:row>
    <x:row r="192">
      <x:c r="A192" s="22"/>
      <x:c r="B192" s="28"/>
      <x:c r="C192" s="22"/>
      <x:c r="D192" s="22"/>
      <x:c r="E192" s="22"/>
      <x:c r="F192" s="22"/>
      <x:c r="G192" s="22"/>
      <x:c r="H192" s="22"/>
      <x:c r="I192" s="22"/>
      <x:c r="J192" s="22"/>
      <x:c r="K192" s="22"/>
    </x:row>
    <x:row r="193">
      <x:c r="A193" s="22"/>
      <x:c r="B193" s="28"/>
      <x:c r="C193" s="22"/>
      <x:c r="D193" s="22"/>
      <x:c r="E193" s="22"/>
      <x:c r="F193" s="22"/>
      <x:c r="G193" s="22"/>
      <x:c r="H193" s="22"/>
      <x:c r="I193" s="22"/>
      <x:c r="J193" s="22"/>
      <x:c r="K193" s="22"/>
    </x:row>
    <x:row r="194">
      <x:c r="A194" s="22"/>
      <x:c r="B194" s="28"/>
      <x:c r="C194" s="22"/>
      <x:c r="D194" s="22"/>
      <x:c r="E194" s="22"/>
      <x:c r="F194" s="22"/>
      <x:c r="G194" s="22"/>
      <x:c r="H194" s="22"/>
      <x:c r="I194" s="22"/>
      <x:c r="J194" s="22"/>
      <x:c r="K194" s="22"/>
    </x:row>
    <x:row r="195">
      <x:c r="A195" s="22"/>
      <x:c r="B195" s="28"/>
      <x:c r="C195" s="22"/>
      <x:c r="D195" s="22"/>
      <x:c r="E195" s="22"/>
      <x:c r="F195" s="22"/>
      <x:c r="G195" s="22"/>
      <x:c r="H195" s="22"/>
      <x:c r="I195" s="22"/>
      <x:c r="J195" s="22"/>
      <x:c r="K195" s="22"/>
    </x:row>
    <x:row r="196">
      <x:c r="A196" s="22"/>
      <x:c r="B196" s="28"/>
      <x:c r="C196" s="22"/>
      <x:c r="D196" s="22"/>
      <x:c r="E196" s="22"/>
      <x:c r="F196" s="22"/>
      <x:c r="G196" s="22"/>
      <x:c r="H196" s="22"/>
      <x:c r="I196" s="22"/>
      <x:c r="J196" s="22"/>
      <x:c r="K196" s="22"/>
    </x:row>
    <x:row r="197">
      <x:c r="A197" s="22"/>
      <x:c r="B197" s="28"/>
      <x:c r="C197" s="22"/>
      <x:c r="D197" s="22"/>
      <x:c r="E197" s="22"/>
      <x:c r="F197" s="22"/>
      <x:c r="G197" s="22"/>
      <x:c r="H197" s="22"/>
      <x:c r="I197" s="22"/>
      <x:c r="J197" s="22"/>
      <x:c r="K197" s="22"/>
    </x:row>
    <x:row r="198">
      <x:c r="A198" s="22"/>
      <x:c r="B198" s="28"/>
      <x:c r="C198" s="22"/>
      <x:c r="D198" s="22"/>
      <x:c r="E198" s="22"/>
      <x:c r="F198" s="22"/>
      <x:c r="G198" s="22"/>
      <x:c r="H198" s="22"/>
      <x:c r="I198" s="22"/>
      <x:c r="J198" s="22"/>
      <x:c r="K198" s="22"/>
    </x:row>
    <x:row r="199">
      <x:c r="A199" s="22"/>
      <x:c r="B199" s="28"/>
      <x:c r="C199" s="22"/>
      <x:c r="D199" s="22"/>
      <x:c r="E199" s="22"/>
      <x:c r="F199" s="22"/>
      <x:c r="G199" s="22"/>
      <x:c r="H199" s="22"/>
      <x:c r="I199" s="22"/>
      <x:c r="J199" s="22"/>
      <x:c r="K199" s="22"/>
    </x:row>
    <x:row r="200">
      <x:c r="A200" s="22"/>
      <x:c r="B200" s="28"/>
      <x:c r="C200" s="22"/>
      <x:c r="D200" s="22"/>
      <x:c r="E200" s="22"/>
      <x:c r="F200" s="22"/>
      <x:c r="G200" s="22"/>
      <x:c r="H200" s="22"/>
      <x:c r="I200" s="22"/>
      <x:c r="J200" s="22"/>
      <x:c r="K200" s="22"/>
    </x:row>
  </x:sheetData>
  <x:mergeCells>
    <x:mergeCell ref="A1:W1"/>
    <x:mergeCell ref="A2:W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" hidden="0" customWidth="1"/>
    <x:col min="4" max="4" width="18" hidden="0" customWidth="1"/>
    <x:col min="5" max="5" width="18" hidden="0" customWidth="1"/>
    <x:col min="6" max="6" width="3" hidden="0" customWidth="1"/>
    <x:col min="7" max="7" width="22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9" hidden="0" customWidth="1"/>
  </x:cols>
  <x:sheetData>
    <x:row r="1" ht="26" customHeight="1">
      <x:c r="A1" s="3" t="str">
        <x:v>DASHBOARD TÀI CHÍNH GIA ĐÌNH</x:v>
      </x:c>
    </x:row>
    <x:row r="2" ht="28" customHeight="1">
      <x:c r="A2" s="8" t="str">
        <x:v>Tổng hợp dữ liệu POSTED. Web app có thể lọc theo người dùng và Privacy_Tag.</x:v>
      </x:c>
    </x:row>
    <x:row r="4">
      <x:c r="A4" s="44" t="str">
        <x:v>TÀI SẢN RÒNG</x:v>
      </x:c>
      <x:c r="B4" s="44"/>
      <x:c r="C4" s="44"/>
      <x:c r="D4" s="44" t="str">
        <x:v>DÒNG TIỀN THÁNG</x:v>
      </x:c>
      <x:c r="E4" s="44"/>
      <x:c r="F4" s="44"/>
      <x:c r="G4" s="44" t="str">
        <x:v>TỶ LỆ TIẾT KIỆM</x:v>
      </x:c>
      <x:c r="H4" s="44"/>
      <x:c r="I4" s="44"/>
      <x:c r="J4" s="44" t="str">
        <x:v>MỤC TIÊU ĐÚNG TIẾN ĐỘ</x:v>
      </x:c>
      <x:c r="K4" s="44"/>
      <x:c r="L4" s="44"/>
    </x:row>
    <x:row r="5">
      <x:c r="A5" s="54" t="e">
        <x:f>SUMIFS(Accounts!$J:$J,Accounts!$K:$K,"Có")</x:f>
      </x:c>
      <x:c r="B5" s="49"/>
      <x:c r="C5" s="49"/>
      <x:c r="D5" s="54" t="n">
        <x:f>SUMIFS(Transactions!$L:$L,Transactions!$D:$D,"INCOME",Transactions!$C:$C,"POSTED",Transactions!$B:$B,"&gt;="&amp;Settings!$B$14,Transactions!$B:$B,"&lt;"&amp;EDATE(Settings!$B$14,1))-SUMIFS(Transactions!$L:$L,Transactions!$D:$D,"EXPENSE",Transactions!$C:$C,"POSTED",Transactions!$B:$B,"&gt;="&amp;Settings!$B$14,Transactions!$B:$B,"&lt;"&amp;EDATE(Settings!$B$14,1))</x:f>
        <x:v>0</x:v>
      </x:c>
      <x:c r="E5" s="49"/>
      <x:c r="F5" s="49"/>
      <x:c r="G5" s="56" t="n">
        <x:f>IFERROR((SUMIFS(Goal_Allocations!$F:$F,Goal_Allocations!$B:$B,"&gt;="&amp;Settings!$B$14,Goal_Allocations!$B:$B,"&lt;"&amp;EDATE(Settings!$B$14,1))+SUMIFS(Investment_Transactions!$G:$G,Investment_Transactions!$B:$B,"&gt;="&amp;Settings!$B$14,Investment_Transactions!$B:$B,"&lt;"&amp;EDATE(Settings!$B$14,1)))/SUMIFS(Transactions!$L:$L,Transactions!$D:$D,"INCOME",Transactions!$C:$C,"POSTED",Transactions!$B:$B,"&gt;="&amp;Settings!$B$14,Transactions!$B:$B,"&lt;"&amp;EDATE(Settings!$B$14,1)),0)</x:f>
        <x:v>0</x:v>
      </x:c>
      <x:c r="H5" s="49"/>
      <x:c r="I5" s="49"/>
      <x:c r="J5" s="49" t="str">
        <x:f>COUNTIF(Goals!$V$5:$V$100,"ĐÚNG KẾ HOẠCH")&amp;"/"&amp;COUNTIF(Goals!$A$5:$A$100,"&lt;&gt;")</x:f>
        <x:v>0/4</x:v>
      </x:c>
      <x:c r="K5" s="49"/>
      <x:c r="L5" s="49"/>
    </x:row>
    <x:row r="6">
      <x:c r="A6" s="49"/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</x:row>
    <x:row r="7">
      <x:c r="A7" s="49"/>
      <x:c r="B7" s="49"/>
      <x:c r="C7" s="49"/>
      <x:c r="D7" s="49"/>
      <x:c r="E7" s="49"/>
      <x:c r="F7" s="49"/>
      <x:c r="G7" s="49"/>
      <x:c r="H7" s="49"/>
      <x:c r="I7" s="49"/>
      <x:c r="J7" s="49"/>
      <x:c r="K7" s="49"/>
      <x:c r="L7" s="49"/>
    </x:row>
    <x:row r="9">
      <x:c r="A9" s="58" t="str">
        <x:v>TỔNG QUAN THÁNG</x:v>
      </x:c>
      <x:c r="B9" s="58"/>
      <x:c r="C9" s="58"/>
      <x:c r="D9" s="58"/>
      <x:c r="E9" s="58"/>
      <x:c r="F9" s="58"/>
      <x:c r="G9" s="58" t="str">
        <x:v>TIẾN ĐỘ MỤC TIÊU</x:v>
      </x:c>
      <x:c r="H9" s="58"/>
      <x:c r="I9" s="58"/>
      <x:c r="J9" s="58"/>
      <x:c r="K9" s="58"/>
      <x:c r="L9" s="58"/>
    </x:row>
    <x:row r="10" ht="30" customHeight="1">
      <x:c r="A10" s="16" t="str">
        <x:v>Chỉ số</x:v>
      </x:c>
      <x:c r="B10" s="16" t="str">
        <x:v>Giá trị</x:v>
      </x:c>
      <x:c r="G10" s="16" t="str">
        <x:v>Mục tiêu</x:v>
      </x:c>
      <x:c r="H10" s="16" t="str">
        <x:v>Giá mục tiêu</x:v>
      </x:c>
      <x:c r="I10" s="16" t="str">
        <x:v>Đã có</x:v>
      </x:c>
      <x:c r="J10" s="16" t="str">
        <x:v>Còn thiếu</x:v>
      </x:c>
      <x:c r="K10" s="16" t="str">
        <x:v>Cần/tháng</x:v>
      </x:c>
      <x:c r="L10" s="16" t="str">
        <x:v>Trạng thái</x:v>
      </x:c>
    </x:row>
    <x:row r="11">
      <x:c r="A11" t="str">
        <x:v>Thu nhập tháng</x:v>
      </x:c>
      <x:c r="B11" s="36" t="n">
        <x:f>SUMIFS(Transactions!$L:$L,Transactions!$D:$D,"INCOME",Transactions!$C:$C,"POSTED",Transactions!$B:$B,"&gt;="&amp;Settings!$B$14,Transactions!$B:$B,"&lt;"&amp;EDATE(Settings!$B$14,1))</x:f>
        <x:v>0</x:v>
      </x:c>
      <x:c r="G11" t="str">
        <x:f>Goals!B5</x:f>
        <x:v>Sinh con</x:v>
      </x:c>
      <x:c r="H11" s="36" t="str">
        <x:f>Goals!J5</x:f>
      </x:c>
      <x:c r="I11" s="36" t="n">
        <x:f>Goals!O5</x:f>
        <x:v>0</x:v>
      </x:c>
      <x:c r="J11" s="36" t="n">
        <x:f>Goals!P5</x:f>
        <x:v>0</x:v>
      </x:c>
      <x:c r="K11" s="36" t="n">
        <x:f>Goals!S5</x:f>
        <x:v>0</x:v>
      </x:c>
      <x:c r="L11" t="str">
        <x:f>Goals!V5</x:f>
      </x:c>
    </x:row>
    <x:row r="12">
      <x:c r="A12" t="str">
        <x:v>Chi phí tháng</x:v>
      </x:c>
      <x:c r="B12" s="36" t="n">
        <x:f>SUMIFS(Transactions!$L:$L,Transactions!$D:$D,"EXPENSE",Transactions!$C:$C,"POSTED",Transactions!$B:$B,"&gt;="&amp;Settings!$B$14,Transactions!$B:$B,"&lt;"&amp;EDATE(Settings!$B$14,1))</x:f>
        <x:v>0</x:v>
      </x:c>
      <x:c r="G12" t="str">
        <x:f>Goals!B6</x:f>
        <x:v>Mua nhà</x:v>
      </x:c>
      <x:c r="H12" s="36" t="str">
        <x:f>Goals!J6</x:f>
      </x:c>
      <x:c r="I12" s="36" t="n">
        <x:f>Goals!O6</x:f>
        <x:v>0</x:v>
      </x:c>
      <x:c r="J12" s="36" t="n">
        <x:f>Goals!P6</x:f>
        <x:v>0</x:v>
      </x:c>
      <x:c r="K12" s="36" t="n">
        <x:f>Goals!S6</x:f>
        <x:v>0</x:v>
      </x:c>
      <x:c r="L12" t="str">
        <x:f>Goals!V6</x:f>
      </x:c>
    </x:row>
    <x:row r="13">
      <x:c r="A13" t="str">
        <x:v>Dòng tiền ròng</x:v>
      </x:c>
      <x:c r="B13" s="36" t="n">
        <x:f>B11-B12</x:f>
        <x:v>0</x:v>
      </x:c>
      <x:c r="G13" t="str">
        <x:f>Goals!B7</x:f>
        <x:v>Đổi xe</x:v>
      </x:c>
      <x:c r="H13" s="36" t="str">
        <x:f>Goals!J7</x:f>
      </x:c>
      <x:c r="I13" s="36" t="n">
        <x:f>Goals!O7</x:f>
        <x:v>0</x:v>
      </x:c>
      <x:c r="J13" s="36" t="n">
        <x:f>Goals!P7</x:f>
        <x:v>0</x:v>
      </x:c>
      <x:c r="K13" s="36" t="n">
        <x:f>Goals!S7</x:f>
        <x:v>0</x:v>
      </x:c>
      <x:c r="L13" t="str">
        <x:f>Goals!V7</x:f>
      </x:c>
    </x:row>
    <x:row r="14">
      <x:c r="A14" t="str">
        <x:v>Tổng ngân sách</x:v>
      </x:c>
      <x:c r="B14" s="36" t="n">
        <x:f>SUMIFS(Budgets!$F:$F,Budgets!$B:$B,Settings!$B$14)</x:f>
        <x:v>0</x:v>
      </x:c>
      <x:c r="G14" t="str">
        <x:f>Goals!B8</x:f>
        <x:v>Phát triển công việc</x:v>
      </x:c>
      <x:c r="H14" s="36" t="str">
        <x:f>Goals!J8</x:f>
      </x:c>
      <x:c r="I14" s="36" t="n">
        <x:f>Goals!O8</x:f>
        <x:v>0</x:v>
      </x:c>
      <x:c r="J14" s="36" t="n">
        <x:f>Goals!P8</x:f>
        <x:v>0</x:v>
      </x:c>
      <x:c r="K14" s="36" t="n">
        <x:f>Goals!S8</x:f>
        <x:v>0</x:v>
      </x:c>
      <x:c r="L14" t="n">
        <x:f>Goals!V8</x:f>
        <x:v>0</x:v>
      </x:c>
    </x:row>
    <x:row r="15">
      <x:c r="A15" t="str">
        <x:v>Thực chi ngân sách</x:v>
      </x:c>
      <x:c r="B15" s="36" t="n">
        <x:f>SUMIFS(Budgets!$G:$G,Budgets!$B:$B,Settings!$B$14)</x:f>
        <x:v>0</x:v>
      </x:c>
    </x:row>
    <x:row r="16">
      <x:c r="A16" t="str">
        <x:v>Tiền chưa phân bổ</x:v>
      </x:c>
      <x:c r="B16" s="36" t="n">
        <x:f>MAX(0,B11-B12-SUMIFS(Goal_Allocations!$F:$F,Goal_Allocations!$B:$B,"&gt;="&amp;Settings!$B$14,Goal_Allocations!$B:$B,"&lt;"&amp;EDATE(Settings!$B$14,1))-SUMIFS(Investment_Transactions!$G:$G,Investment_Transactions!$B:$B,"&gt;="&amp;Settings!$B$14,Investment_Transactions!$B:$B,"&lt;"&amp;EDATE(Settings!$B$14,1)))</x:f>
        <x:v>0</x:v>
      </x:c>
    </x:row>
  </x:sheetData>
  <x:mergeCells>
    <x:mergeCell ref="A1:W1"/>
    <x:mergeCell ref="A2:W2"/>
    <x:mergeCell ref="A4:C4"/>
    <x:mergeCell ref="D4:F4"/>
    <x:mergeCell ref="G4:I4"/>
    <x:mergeCell ref="J4:L4"/>
    <x:mergeCell ref="A5:C7"/>
    <x:mergeCell ref="D5:F7"/>
    <x:mergeCell ref="G5:I7"/>
    <x:mergeCell ref="J5:L7"/>
    <x:mergeCell ref="A9:F9"/>
    <x:mergeCell ref="G9:L9"/>
  </x:mergeCells>
  <x:pageMargins left="0.7" right="0.7" top="0.75" bottom="0.75" header="0.3" footer="0.3"/>
</x:worksheet>
</file>